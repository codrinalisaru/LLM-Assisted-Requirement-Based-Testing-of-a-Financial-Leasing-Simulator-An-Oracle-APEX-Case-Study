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rive_2026_new\Google drive_created 03 Jan 2026\03_Doctorat\00_Articole\06_Article Oracle Apex Leasing Simulator_MDIS_trimis\"/>
    </mc:Choice>
  </mc:AlternateContent>
  <bookViews>
    <workbookView xWindow="-105" yWindow="-105" windowWidth="19425" windowHeight="10305"/>
  </bookViews>
  <sheets>
    <sheet name="Reqs" sheetId="4" r:id="rId1"/>
    <sheet name="TCs baseline" sheetId="29" r:id="rId2"/>
    <sheet name="Models" sheetId="12" r:id="rId3"/>
    <sheet name="TCs eval" sheetId="14" r:id="rId4"/>
    <sheet name="Defects" sheetId="30" r:id="rId5"/>
    <sheet name="Reqs vs TCs" sheetId="19" r:id="rId6"/>
    <sheet name="TCs ChatGPT" sheetId="9" r:id="rId7"/>
    <sheet name=" TCs Gemini" sheetId="10" r:id="rId8"/>
    <sheet name="TCs Claude" sheetId="11" r:id="rId9"/>
    <sheet name="Oracle cases" sheetId="22" r:id="rId10"/>
    <sheet name="Oracle results - run1" sheetId="26" r:id="rId11"/>
    <sheet name="Oracle results - run2" sheetId="24" r:id="rId12"/>
    <sheet name="Oracle results - run3" sheetId="25" r:id="rId13"/>
    <sheet name="Oracle-Synthesis" sheetId="28" r:id="rId14"/>
    <sheet name="Human eval" sheetId="23" r:id="rId15"/>
  </sheets>
  <definedNames>
    <definedName name="_xlnm._FilterDatabase" localSheetId="6" hidden="1">'TCs ChatGPT'!$A$1:$H$27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4" l="1"/>
  <c r="N4" i="26" l="1"/>
  <c r="N5" i="26"/>
  <c r="N6" i="26"/>
  <c r="N7" i="26"/>
  <c r="N8" i="26"/>
  <c r="N9" i="26"/>
  <c r="N10" i="26"/>
  <c r="N11" i="26"/>
  <c r="N12" i="26"/>
  <c r="N13" i="26"/>
  <c r="N14" i="26"/>
  <c r="N15" i="26"/>
  <c r="N16" i="26"/>
  <c r="N17" i="26"/>
  <c r="N18" i="26"/>
  <c r="N19" i="26"/>
  <c r="N20" i="26"/>
  <c r="N21" i="26"/>
  <c r="N22" i="26"/>
  <c r="N23" i="26"/>
  <c r="N24" i="26"/>
  <c r="N25" i="26"/>
  <c r="N26" i="26"/>
  <c r="N27" i="26"/>
  <c r="M28" i="26"/>
  <c r="O28" i="26"/>
  <c r="N44" i="26"/>
  <c r="N45" i="26"/>
  <c r="N46" i="26"/>
  <c r="N47" i="26"/>
  <c r="N48" i="26"/>
  <c r="N49" i="26"/>
  <c r="N50" i="26"/>
  <c r="N51" i="26"/>
  <c r="N52" i="26"/>
  <c r="N53" i="26"/>
  <c r="N54" i="26"/>
  <c r="N55" i="26"/>
  <c r="N56" i="26"/>
  <c r="N57" i="26"/>
  <c r="N58" i="26"/>
  <c r="N59" i="26"/>
  <c r="N60" i="26"/>
  <c r="N61" i="26"/>
  <c r="N62" i="26"/>
  <c r="N63" i="26"/>
  <c r="N64" i="26"/>
  <c r="N65" i="26"/>
  <c r="N66" i="26"/>
  <c r="N67" i="26"/>
  <c r="N68" i="26"/>
  <c r="N69" i="26"/>
  <c r="N70" i="26"/>
  <c r="N71" i="26"/>
  <c r="N72" i="26"/>
  <c r="N73" i="26"/>
  <c r="N74" i="26"/>
  <c r="N75" i="26"/>
  <c r="N76" i="26"/>
  <c r="N77" i="26"/>
  <c r="N78" i="26"/>
  <c r="N79" i="26"/>
  <c r="M80" i="26"/>
  <c r="O80" i="26"/>
  <c r="H44" i="23"/>
  <c r="D44" i="23"/>
  <c r="E44" i="23"/>
  <c r="G44" i="23"/>
  <c r="O80" i="25" l="1"/>
  <c r="M80" i="25"/>
  <c r="N79" i="25"/>
  <c r="N78" i="25"/>
  <c r="N77" i="25"/>
  <c r="N76" i="25"/>
  <c r="N75" i="25"/>
  <c r="N74" i="25"/>
  <c r="N73" i="25"/>
  <c r="N72" i="25"/>
  <c r="N71" i="25"/>
  <c r="N70" i="25"/>
  <c r="N69" i="25"/>
  <c r="N68" i="25"/>
  <c r="N67" i="25"/>
  <c r="N66" i="25"/>
  <c r="N65" i="25"/>
  <c r="N64" i="25"/>
  <c r="N63" i="25"/>
  <c r="N62" i="25"/>
  <c r="N61" i="25"/>
  <c r="N60" i="25"/>
  <c r="N59" i="25"/>
  <c r="N58" i="25"/>
  <c r="N57" i="25"/>
  <c r="N56" i="25"/>
  <c r="N55" i="25"/>
  <c r="N54" i="25"/>
  <c r="N53" i="25"/>
  <c r="N52" i="25"/>
  <c r="N51" i="25"/>
  <c r="N50" i="25"/>
  <c r="N49" i="25"/>
  <c r="N48" i="25"/>
  <c r="N47" i="25"/>
  <c r="N46" i="25"/>
  <c r="N45" i="25"/>
  <c r="N44" i="25"/>
  <c r="O28" i="25"/>
  <c r="M28" i="25"/>
  <c r="N27" i="25"/>
  <c r="N26" i="25"/>
  <c r="N25" i="25"/>
  <c r="N24" i="25"/>
  <c r="N23" i="25"/>
  <c r="N22" i="25"/>
  <c r="N21" i="25"/>
  <c r="N20" i="25"/>
  <c r="N19" i="25"/>
  <c r="N18" i="25"/>
  <c r="N17" i="25"/>
  <c r="N16" i="25"/>
  <c r="N15" i="25"/>
  <c r="N14" i="25"/>
  <c r="N13" i="25"/>
  <c r="N12" i="25"/>
  <c r="N11" i="25"/>
  <c r="N10" i="25"/>
  <c r="N9" i="25"/>
  <c r="N8" i="25"/>
  <c r="N7" i="25"/>
  <c r="N6" i="25"/>
  <c r="N5" i="25"/>
  <c r="N4" i="25"/>
  <c r="O80" i="24"/>
  <c r="M80" i="24"/>
  <c r="N79" i="24"/>
  <c r="N78" i="24"/>
  <c r="N77" i="24"/>
  <c r="N76" i="24"/>
  <c r="N75" i="24"/>
  <c r="N74" i="24"/>
  <c r="N73" i="24"/>
  <c r="N72" i="24"/>
  <c r="N71" i="24"/>
  <c r="N70"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O28" i="24"/>
  <c r="M28" i="24"/>
  <c r="N27" i="24"/>
  <c r="N26" i="24"/>
  <c r="N25" i="24"/>
  <c r="N24" i="24"/>
  <c r="N23" i="24"/>
  <c r="N22" i="24"/>
  <c r="N21" i="24"/>
  <c r="N20" i="24"/>
  <c r="N19" i="24"/>
  <c r="N18" i="24"/>
  <c r="N17" i="24"/>
  <c r="N16" i="24"/>
  <c r="N15" i="24"/>
  <c r="N14" i="24"/>
  <c r="N13" i="24"/>
  <c r="N12" i="24"/>
  <c r="N11" i="24"/>
  <c r="N10" i="24"/>
  <c r="N9" i="24"/>
  <c r="N8" i="24"/>
  <c r="N7" i="24"/>
  <c r="N6" i="24"/>
  <c r="N5" i="24"/>
  <c r="N4" i="24"/>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D50" i="23"/>
  <c r="H50" i="23" s="1"/>
  <c r="B87" i="23"/>
  <c r="C87" i="23" s="1"/>
  <c r="B72" i="23"/>
  <c r="C72" i="23" s="1"/>
  <c r="B73" i="23"/>
  <c r="C73" i="23" s="1"/>
  <c r="B74" i="23"/>
  <c r="C74" i="23" s="1"/>
  <c r="B75" i="23"/>
  <c r="C75" i="23" s="1"/>
  <c r="B76" i="23"/>
  <c r="C76" i="23" s="1"/>
  <c r="B77" i="23"/>
  <c r="C77" i="23" s="1"/>
  <c r="B78" i="23"/>
  <c r="C78" i="23" s="1"/>
  <c r="B79" i="23"/>
  <c r="C79" i="23" s="1"/>
  <c r="B80" i="23"/>
  <c r="C80" i="23" s="1"/>
  <c r="B81" i="23"/>
  <c r="C81" i="23" s="1"/>
  <c r="B82" i="23"/>
  <c r="C82" i="23" s="1"/>
  <c r="B83" i="23"/>
  <c r="C83" i="23" s="1"/>
  <c r="B84" i="23"/>
  <c r="C84" i="23" s="1"/>
  <c r="B85" i="23"/>
  <c r="C85" i="23" s="1"/>
  <c r="B86" i="23"/>
  <c r="C86" i="23" s="1"/>
  <c r="B52" i="23"/>
  <c r="C52" i="23" s="1"/>
  <c r="B53" i="23"/>
  <c r="C53" i="23" s="1"/>
  <c r="B54" i="23"/>
  <c r="C54" i="23" s="1"/>
  <c r="B55" i="23"/>
  <c r="C55" i="23" s="1"/>
  <c r="B56" i="23"/>
  <c r="C56" i="23" s="1"/>
  <c r="B57" i="23"/>
  <c r="C57" i="23" s="1"/>
  <c r="B58" i="23"/>
  <c r="C58" i="23" s="1"/>
  <c r="B59" i="23"/>
  <c r="C59" i="23" s="1"/>
  <c r="B60" i="23"/>
  <c r="C60" i="23" s="1"/>
  <c r="B61" i="23"/>
  <c r="C61" i="23" s="1"/>
  <c r="B62" i="23"/>
  <c r="C62" i="23" s="1"/>
  <c r="B63" i="23"/>
  <c r="C63" i="23" s="1"/>
  <c r="B64" i="23"/>
  <c r="C64" i="23" s="1"/>
  <c r="B65" i="23"/>
  <c r="C65" i="23" s="1"/>
  <c r="B66" i="23"/>
  <c r="C66" i="23" s="1"/>
  <c r="B67" i="23"/>
  <c r="C67" i="23" s="1"/>
  <c r="B68" i="23"/>
  <c r="C68" i="23" s="1"/>
  <c r="B69" i="23"/>
  <c r="C69" i="23" s="1"/>
  <c r="B70" i="23"/>
  <c r="C70" i="23" s="1"/>
  <c r="B71" i="23"/>
  <c r="C71" i="23" s="1"/>
  <c r="B51" i="23"/>
  <c r="C51" i="23" s="1"/>
  <c r="B50" i="23"/>
  <c r="C50" i="23" s="1"/>
  <c r="H87" i="23"/>
  <c r="G87" i="23"/>
  <c r="E87" i="23"/>
  <c r="F52" i="23"/>
  <c r="F51" i="23"/>
  <c r="M57" i="23"/>
  <c r="B45" i="23"/>
  <c r="C45" i="23" s="1"/>
  <c r="D34" i="23"/>
  <c r="D35" i="23"/>
  <c r="D36" i="23"/>
  <c r="D37" i="23"/>
  <c r="D38" i="23"/>
  <c r="D39" i="23"/>
  <c r="D40" i="23"/>
  <c r="D41" i="23"/>
  <c r="D42" i="23"/>
  <c r="D43" i="23"/>
  <c r="D33" i="23"/>
  <c r="D32" i="23"/>
  <c r="H32" i="23" s="1"/>
  <c r="G33" i="23" s="1"/>
  <c r="B34" i="23"/>
  <c r="C34" i="23" s="1"/>
  <c r="B35" i="23"/>
  <c r="C35" i="23" s="1"/>
  <c r="B36" i="23"/>
  <c r="C36" i="23" s="1"/>
  <c r="B37" i="23"/>
  <c r="C37" i="23" s="1"/>
  <c r="B38" i="23"/>
  <c r="C38" i="23" s="1"/>
  <c r="B39" i="23"/>
  <c r="C39" i="23" s="1"/>
  <c r="B40" i="23"/>
  <c r="C40" i="23" s="1"/>
  <c r="B41" i="23"/>
  <c r="C41" i="23" s="1"/>
  <c r="B42" i="23"/>
  <c r="C42" i="23" s="1"/>
  <c r="B43" i="23"/>
  <c r="C43" i="23" s="1"/>
  <c r="B44" i="23"/>
  <c r="C44" i="23" s="1"/>
  <c r="B33" i="23"/>
  <c r="C33" i="23" s="1"/>
  <c r="B32" i="23"/>
  <c r="C32" i="23" s="1"/>
  <c r="H45" i="23"/>
  <c r="G45" i="23"/>
  <c r="E45" i="23"/>
  <c r="F44" i="23"/>
  <c r="F43" i="23"/>
  <c r="F42" i="23"/>
  <c r="F41" i="23"/>
  <c r="F40" i="23"/>
  <c r="F39" i="23"/>
  <c r="F38" i="23"/>
  <c r="F37" i="23"/>
  <c r="F36" i="23"/>
  <c r="F35" i="23"/>
  <c r="F34" i="23"/>
  <c r="F33" i="23"/>
  <c r="H28" i="23"/>
  <c r="G28" i="23"/>
  <c r="E28" i="23"/>
  <c r="B28" i="23"/>
  <c r="C28" i="23" s="1"/>
  <c r="D5" i="23"/>
  <c r="D6" i="23"/>
  <c r="D7" i="23"/>
  <c r="D8" i="23"/>
  <c r="D9" i="23"/>
  <c r="D10" i="23"/>
  <c r="D11" i="23"/>
  <c r="D12" i="23"/>
  <c r="D13" i="23"/>
  <c r="D14" i="23"/>
  <c r="D15" i="23"/>
  <c r="D16" i="23"/>
  <c r="D17" i="23"/>
  <c r="D18" i="23"/>
  <c r="D19" i="23"/>
  <c r="D20" i="23"/>
  <c r="D21" i="23"/>
  <c r="D22" i="23"/>
  <c r="D23" i="23"/>
  <c r="D24" i="23"/>
  <c r="D25" i="23"/>
  <c r="D26" i="23"/>
  <c r="D4" i="23"/>
  <c r="F5" i="23"/>
  <c r="F6" i="23"/>
  <c r="F7" i="23"/>
  <c r="F8" i="23"/>
  <c r="F9" i="23"/>
  <c r="F10" i="23"/>
  <c r="F11" i="23"/>
  <c r="F12" i="23"/>
  <c r="F13" i="23"/>
  <c r="F14" i="23"/>
  <c r="F15" i="23"/>
  <c r="F16" i="23"/>
  <c r="F17" i="23"/>
  <c r="F18" i="23"/>
  <c r="F19" i="23"/>
  <c r="F20" i="23"/>
  <c r="F21" i="23"/>
  <c r="F22" i="23"/>
  <c r="F23" i="23"/>
  <c r="F24" i="23"/>
  <c r="F25" i="23"/>
  <c r="F26" i="23"/>
  <c r="F27" i="23"/>
  <c r="F4" i="23"/>
  <c r="B27" i="23"/>
  <c r="C27" i="23" s="1"/>
  <c r="B5" i="23"/>
  <c r="C5" i="23" s="1"/>
  <c r="B6" i="23"/>
  <c r="C6" i="23" s="1"/>
  <c r="B7" i="23"/>
  <c r="C7" i="23" s="1"/>
  <c r="B8" i="23"/>
  <c r="C8" i="23" s="1"/>
  <c r="B9" i="23"/>
  <c r="C9" i="23" s="1"/>
  <c r="B10" i="23"/>
  <c r="C10" i="23" s="1"/>
  <c r="B11" i="23"/>
  <c r="C11" i="23" s="1"/>
  <c r="B12" i="23"/>
  <c r="C12" i="23" s="1"/>
  <c r="B13" i="23"/>
  <c r="C13" i="23" s="1"/>
  <c r="B14" i="23"/>
  <c r="C14" i="23" s="1"/>
  <c r="B15" i="23"/>
  <c r="C15" i="23" s="1"/>
  <c r="B16" i="23"/>
  <c r="C16" i="23" s="1"/>
  <c r="B17" i="23"/>
  <c r="C17" i="23" s="1"/>
  <c r="B18" i="23"/>
  <c r="C18" i="23" s="1"/>
  <c r="B19" i="23"/>
  <c r="C19" i="23" s="1"/>
  <c r="B20" i="23"/>
  <c r="C20" i="23" s="1"/>
  <c r="B21" i="23"/>
  <c r="C21" i="23" s="1"/>
  <c r="B22" i="23"/>
  <c r="C22" i="23" s="1"/>
  <c r="B23" i="23"/>
  <c r="C23" i="23" s="1"/>
  <c r="B24" i="23"/>
  <c r="C24" i="23" s="1"/>
  <c r="B25" i="23"/>
  <c r="C25" i="23" s="1"/>
  <c r="B26" i="23"/>
  <c r="C26" i="23" s="1"/>
  <c r="B4" i="23"/>
  <c r="C4" i="23" s="1"/>
  <c r="D3" i="23"/>
  <c r="H3" i="23" s="1"/>
  <c r="G4" i="23" s="1"/>
  <c r="B3" i="23"/>
  <c r="C3" i="23" s="1"/>
  <c r="F11" i="14"/>
  <c r="I11" i="14"/>
  <c r="C11" i="14"/>
  <c r="C9" i="14"/>
  <c r="D9" i="14"/>
  <c r="E9" i="14"/>
  <c r="F9" i="14"/>
  <c r="G9" i="14"/>
  <c r="H9" i="14"/>
  <c r="I9" i="14"/>
  <c r="J9" i="14"/>
  <c r="K9" i="14"/>
  <c r="C3" i="14"/>
  <c r="G51" i="23" l="1"/>
  <c r="D73" i="23"/>
  <c r="D74" i="23"/>
  <c r="D75" i="23"/>
  <c r="D76" i="23"/>
  <c r="D51" i="23"/>
  <c r="D63" i="23"/>
  <c r="D62" i="23"/>
  <c r="D56" i="23"/>
  <c r="D61" i="23"/>
  <c r="D60" i="23"/>
  <c r="D59" i="23"/>
  <c r="D69" i="23"/>
  <c r="D57" i="23"/>
  <c r="D55" i="23"/>
  <c r="D54" i="23"/>
  <c r="D53" i="23"/>
  <c r="D52" i="23"/>
  <c r="D85" i="23"/>
  <c r="D71" i="23"/>
  <c r="D84" i="23"/>
  <c r="D83" i="23"/>
  <c r="D82" i="23"/>
  <c r="D81" i="23"/>
  <c r="D64" i="23"/>
  <c r="D79" i="23"/>
  <c r="D78" i="23"/>
  <c r="D80" i="23"/>
  <c r="D65" i="23"/>
  <c r="D66" i="23"/>
  <c r="D58" i="23"/>
  <c r="D77" i="23"/>
  <c r="D67" i="23"/>
  <c r="D68" i="23"/>
  <c r="D70" i="23"/>
  <c r="D72" i="23"/>
  <c r="E33" i="23"/>
  <c r="H33" i="23" s="1"/>
  <c r="G34" i="23" s="1"/>
  <c r="E4" i="23"/>
  <c r="H4" i="23" s="1"/>
  <c r="G5" i="23" s="1"/>
  <c r="C12" i="14"/>
  <c r="D25" i="14"/>
  <c r="E25" i="14"/>
  <c r="F25" i="14"/>
  <c r="G25" i="14"/>
  <c r="H25" i="14"/>
  <c r="I25" i="14"/>
  <c r="J25" i="14"/>
  <c r="K25" i="14"/>
  <c r="C25" i="14"/>
  <c r="K29" i="14"/>
  <c r="D29" i="14"/>
  <c r="E29" i="14"/>
  <c r="F29" i="14"/>
  <c r="G29" i="14"/>
  <c r="I29" i="14"/>
  <c r="J29" i="14"/>
  <c r="C29" i="14"/>
  <c r="K23" i="14"/>
  <c r="E23" i="14"/>
  <c r="F23" i="14"/>
  <c r="G23" i="14"/>
  <c r="H23" i="14"/>
  <c r="I23" i="14"/>
  <c r="J23" i="14"/>
  <c r="D23" i="14"/>
  <c r="C23" i="14"/>
  <c r="K21" i="14"/>
  <c r="J21" i="14"/>
  <c r="I21" i="14"/>
  <c r="H21" i="14"/>
  <c r="G21" i="14"/>
  <c r="C21" i="14"/>
  <c r="F21" i="14"/>
  <c r="E21" i="14"/>
  <c r="D21" i="14"/>
  <c r="E51" i="23" l="1"/>
  <c r="H51" i="23" s="1"/>
  <c r="E34" i="23"/>
  <c r="H34" i="23" s="1"/>
  <c r="G35" i="23" s="1"/>
  <c r="E5" i="23"/>
  <c r="H5" i="23" s="1"/>
  <c r="G6" i="23" s="1"/>
  <c r="E6" i="23" s="1"/>
  <c r="H6" i="23" s="1"/>
  <c r="G7" i="23" s="1"/>
  <c r="E7" i="23" s="1"/>
  <c r="H7" i="23" s="1"/>
  <c r="G8" i="23" s="1"/>
  <c r="K12" i="14"/>
  <c r="J12" i="14"/>
  <c r="I12" i="14"/>
  <c r="H12" i="14"/>
  <c r="G12" i="14"/>
  <c r="F12" i="14"/>
  <c r="E12" i="14"/>
  <c r="D12" i="14"/>
  <c r="I18" i="14"/>
  <c r="F18" i="14"/>
  <c r="C18" i="14"/>
  <c r="G52" i="23" l="1"/>
  <c r="E52" i="23" s="1"/>
  <c r="H52" i="23" s="1"/>
  <c r="E35" i="23"/>
  <c r="H35" i="23" s="1"/>
  <c r="G36" i="23" s="1"/>
  <c r="E8" i="23"/>
  <c r="H8" i="23" s="1"/>
  <c r="G9" i="23" s="1"/>
  <c r="G53" i="23" l="1"/>
  <c r="E53" i="23" s="1"/>
  <c r="H53" i="23" s="1"/>
  <c r="G54" i="23" s="1"/>
  <c r="E54" i="23" s="1"/>
  <c r="H54" i="23" s="1"/>
  <c r="E36" i="23"/>
  <c r="H36" i="23" s="1"/>
  <c r="G37" i="23" s="1"/>
  <c r="E9" i="23"/>
  <c r="H9" i="23" s="1"/>
  <c r="G10" i="23" s="1"/>
  <c r="G55" i="23" l="1"/>
  <c r="E55" i="23" s="1"/>
  <c r="H55" i="23" s="1"/>
  <c r="E37" i="23"/>
  <c r="H37" i="23" s="1"/>
  <c r="G38" i="23" s="1"/>
  <c r="E10" i="23"/>
  <c r="H10" i="23" s="1"/>
  <c r="G11" i="23" s="1"/>
  <c r="G56" i="23" l="1"/>
  <c r="E56" i="23" s="1"/>
  <c r="H56" i="23" s="1"/>
  <c r="E38" i="23"/>
  <c r="H38" i="23" s="1"/>
  <c r="G39" i="23" s="1"/>
  <c r="E11" i="23"/>
  <c r="H11" i="23" s="1"/>
  <c r="G12" i="23" s="1"/>
  <c r="G57" i="23" l="1"/>
  <c r="E57" i="23" s="1"/>
  <c r="E39" i="23"/>
  <c r="H39" i="23" s="1"/>
  <c r="G40" i="23" s="1"/>
  <c r="E12" i="23"/>
  <c r="H12" i="23" s="1"/>
  <c r="G13" i="23" s="1"/>
  <c r="H57" i="23" l="1"/>
  <c r="G58" i="23" s="1"/>
  <c r="E58" i="23" s="1"/>
  <c r="E40" i="23"/>
  <c r="H40" i="23" s="1"/>
  <c r="G41" i="23" s="1"/>
  <c r="E13" i="23"/>
  <c r="H13" i="23" s="1"/>
  <c r="G14" i="23" s="1"/>
  <c r="H58" i="23" l="1"/>
  <c r="G59" i="23" s="1"/>
  <c r="E59" i="23" s="1"/>
  <c r="E41" i="23"/>
  <c r="H41" i="23" s="1"/>
  <c r="G42" i="23" s="1"/>
  <c r="E14" i="23"/>
  <c r="H14" i="23" s="1"/>
  <c r="G15" i="23" s="1"/>
  <c r="H59" i="23" l="1"/>
  <c r="E42" i="23"/>
  <c r="H42" i="23" s="1"/>
  <c r="G43" i="23" s="1"/>
  <c r="E15" i="23"/>
  <c r="H15" i="23" s="1"/>
  <c r="G16" i="23" s="1"/>
  <c r="G60" i="23" l="1"/>
  <c r="E60" i="23" s="1"/>
  <c r="H60" i="23" s="1"/>
  <c r="E43" i="23"/>
  <c r="H43" i="23" s="1"/>
  <c r="E16" i="23"/>
  <c r="H16" i="23" s="1"/>
  <c r="G17" i="23" s="1"/>
  <c r="G61" i="23" l="1"/>
  <c r="E61" i="23" s="1"/>
  <c r="H61" i="23" s="1"/>
  <c r="E17" i="23"/>
  <c r="H17" i="23" s="1"/>
  <c r="G18" i="23" s="1"/>
  <c r="G62" i="23" l="1"/>
  <c r="E62" i="23" s="1"/>
  <c r="H62" i="23" s="1"/>
  <c r="E18" i="23"/>
  <c r="H18" i="23" s="1"/>
  <c r="G19" i="23" s="1"/>
  <c r="G63" i="23" l="1"/>
  <c r="E63" i="23" s="1"/>
  <c r="H63" i="23" s="1"/>
  <c r="E19" i="23"/>
  <c r="H19" i="23" s="1"/>
  <c r="G20" i="23" s="1"/>
  <c r="G64" i="23" l="1"/>
  <c r="E64" i="23" s="1"/>
  <c r="H64" i="23" s="1"/>
  <c r="E20" i="23"/>
  <c r="H20" i="23" s="1"/>
  <c r="G21" i="23" s="1"/>
  <c r="E21" i="23" s="1"/>
  <c r="H21" i="23" s="1"/>
  <c r="G65" i="23" l="1"/>
  <c r="E65" i="23" s="1"/>
  <c r="H65" i="23" s="1"/>
  <c r="G22" i="23"/>
  <c r="E22" i="23" s="1"/>
  <c r="H22" i="23" s="1"/>
  <c r="G66" i="23" l="1"/>
  <c r="E66" i="23" s="1"/>
  <c r="H66" i="23" s="1"/>
  <c r="G23" i="23"/>
  <c r="E23" i="23" s="1"/>
  <c r="H23" i="23" s="1"/>
  <c r="G67" i="23" l="1"/>
  <c r="E67" i="23" s="1"/>
  <c r="H67" i="23" s="1"/>
  <c r="G24" i="23"/>
  <c r="E24" i="23" s="1"/>
  <c r="H24" i="23" s="1"/>
  <c r="G68" i="23" l="1"/>
  <c r="E68" i="23" s="1"/>
  <c r="H68" i="23" s="1"/>
  <c r="G25" i="23"/>
  <c r="E25" i="23" s="1"/>
  <c r="H25" i="23" s="1"/>
  <c r="G69" i="23" l="1"/>
  <c r="E69" i="23" s="1"/>
  <c r="H69" i="23" s="1"/>
  <c r="G26" i="23"/>
  <c r="E26" i="23" s="1"/>
  <c r="H26" i="23" s="1"/>
  <c r="G70" i="23" l="1"/>
  <c r="E70" i="23" s="1"/>
  <c r="H70" i="23" s="1"/>
  <c r="E27" i="23"/>
  <c r="G27" i="23"/>
  <c r="H27" i="23" l="1"/>
  <c r="D27" i="23"/>
  <c r="G71" i="23"/>
  <c r="E71" i="23" s="1"/>
  <c r="H71" i="23" s="1"/>
  <c r="G72" i="23" l="1"/>
  <c r="E72" i="23" s="1"/>
  <c r="H72" i="23" s="1"/>
  <c r="G73" i="23" l="1"/>
  <c r="E73" i="23" s="1"/>
  <c r="H73" i="23" s="1"/>
  <c r="G74" i="23" l="1"/>
  <c r="E74" i="23" s="1"/>
  <c r="H74" i="23" s="1"/>
  <c r="G75" i="23" l="1"/>
  <c r="E75" i="23" s="1"/>
  <c r="H75" i="23" s="1"/>
  <c r="G76" i="23" l="1"/>
  <c r="E76" i="23" s="1"/>
  <c r="H76" i="23" s="1"/>
  <c r="G77" i="23" l="1"/>
  <c r="E77" i="23" s="1"/>
  <c r="H77" i="23" s="1"/>
  <c r="G78" i="23" l="1"/>
  <c r="E78" i="23" s="1"/>
  <c r="H78" i="23" s="1"/>
  <c r="G79" i="23" l="1"/>
  <c r="E79" i="23" s="1"/>
  <c r="H79" i="23" s="1"/>
  <c r="G80" i="23" l="1"/>
  <c r="E80" i="23" s="1"/>
  <c r="H80" i="23" s="1"/>
  <c r="G81" i="23" l="1"/>
  <c r="E81" i="23" s="1"/>
  <c r="H81" i="23" s="1"/>
  <c r="G82" i="23" l="1"/>
  <c r="E82" i="23" s="1"/>
  <c r="H82" i="23" s="1"/>
  <c r="G83" i="23" l="1"/>
  <c r="E83" i="23" s="1"/>
  <c r="H83" i="23" s="1"/>
  <c r="G84" i="23" l="1"/>
  <c r="E84" i="23" s="1"/>
  <c r="H84" i="23" s="1"/>
  <c r="G85" i="23" l="1"/>
  <c r="E85" i="23" s="1"/>
  <c r="H85" i="23" s="1"/>
  <c r="G86" i="23" l="1"/>
  <c r="E86" i="23"/>
  <c r="D86" i="23" l="1"/>
  <c r="H86" i="23"/>
  <c r="O7" i="26"/>
  <c r="O26" i="26"/>
  <c r="O22" i="26"/>
  <c r="O14" i="26"/>
  <c r="O17" i="26"/>
  <c r="O25" i="26"/>
  <c r="O5" i="26"/>
  <c r="O24" i="26"/>
  <c r="O20" i="26"/>
  <c r="O16" i="26"/>
  <c r="O11" i="26"/>
  <c r="O9" i="26"/>
  <c r="O10" i="26"/>
  <c r="O21" i="26"/>
  <c r="O23" i="26"/>
  <c r="O13" i="26"/>
  <c r="O27" i="26"/>
  <c r="O19" i="26"/>
  <c r="O8" i="26"/>
  <c r="O12" i="26"/>
  <c r="O15" i="26"/>
  <c r="O4" i="26"/>
  <c r="O6" i="26"/>
  <c r="O18" i="26"/>
  <c r="O71" i="26"/>
  <c r="O46" i="26"/>
  <c r="O52" i="26"/>
  <c r="O70" i="26"/>
  <c r="O47" i="26"/>
  <c r="O57" i="26"/>
  <c r="O49" i="26"/>
  <c r="O54" i="26"/>
  <c r="O59" i="26"/>
  <c r="O68" i="26"/>
  <c r="O65" i="26"/>
  <c r="O50" i="26"/>
  <c r="O44" i="26"/>
  <c r="O73" i="26"/>
  <c r="O78" i="26"/>
  <c r="O51" i="26"/>
  <c r="O79" i="26"/>
  <c r="O60" i="26"/>
  <c r="O64" i="26"/>
  <c r="O48" i="26"/>
  <c r="O58" i="26"/>
  <c r="O69" i="26"/>
  <c r="O53" i="26"/>
  <c r="O55" i="26"/>
  <c r="O72" i="26"/>
  <c r="O63" i="26"/>
  <c r="O56" i="26"/>
  <c r="O75" i="26"/>
  <c r="O66" i="26"/>
  <c r="O74" i="26"/>
  <c r="O61" i="26"/>
  <c r="O45" i="26"/>
  <c r="O67" i="26"/>
  <c r="O62" i="26"/>
  <c r="O77" i="26"/>
  <c r="O76" i="26"/>
  <c r="O72" i="25"/>
  <c r="O68" i="25"/>
  <c r="O76" i="25"/>
  <c r="O67" i="25"/>
  <c r="O49" i="25"/>
  <c r="O78" i="25"/>
  <c r="O56" i="25"/>
  <c r="O55" i="25"/>
  <c r="O62" i="25"/>
  <c r="O52" i="25"/>
  <c r="O45" i="25"/>
  <c r="O65" i="25"/>
  <c r="O74" i="25"/>
  <c r="O46" i="25"/>
  <c r="O57" i="25"/>
  <c r="O73" i="25"/>
  <c r="O75" i="25"/>
  <c r="O61" i="25"/>
  <c r="O58" i="25"/>
  <c r="O66" i="25"/>
  <c r="O63" i="25"/>
  <c r="O51" i="25"/>
  <c r="O47" i="25"/>
  <c r="O53" i="25"/>
  <c r="O50" i="25"/>
  <c r="O54" i="25"/>
  <c r="O69" i="25"/>
  <c r="O48" i="25"/>
  <c r="O79" i="25"/>
  <c r="O44" i="25"/>
  <c r="O71" i="25"/>
  <c r="O70" i="25"/>
  <c r="O77" i="25"/>
  <c r="O64" i="25"/>
  <c r="O59" i="25"/>
  <c r="O60" i="25"/>
  <c r="O51" i="24"/>
  <c r="O58" i="24"/>
  <c r="O56" i="24"/>
  <c r="O70" i="24"/>
  <c r="O68" i="24"/>
  <c r="O63" i="24"/>
  <c r="O74" i="24"/>
  <c r="O47" i="24"/>
  <c r="O64" i="24"/>
  <c r="O73" i="24"/>
  <c r="O65" i="24"/>
  <c r="O50" i="24"/>
  <c r="O79" i="24"/>
  <c r="O52" i="24"/>
  <c r="O62" i="24"/>
  <c r="O69" i="24"/>
  <c r="O46" i="24"/>
  <c r="O61" i="24"/>
  <c r="O53" i="24"/>
  <c r="O78" i="24"/>
  <c r="O57" i="24"/>
  <c r="O60" i="24"/>
  <c r="O48" i="24"/>
  <c r="O59" i="24"/>
  <c r="O72" i="24"/>
  <c r="O75" i="24"/>
  <c r="O55" i="24"/>
  <c r="O67" i="24"/>
  <c r="O71" i="24"/>
  <c r="O76" i="24"/>
  <c r="O49" i="24"/>
  <c r="O44" i="24"/>
  <c r="O77" i="24"/>
  <c r="O54" i="24"/>
  <c r="O66" i="24"/>
  <c r="O45" i="24"/>
  <c r="O5" i="24"/>
  <c r="O26" i="24"/>
  <c r="O18" i="24"/>
  <c r="O9" i="24"/>
  <c r="O12" i="24"/>
  <c r="O21" i="24"/>
  <c r="O4" i="24"/>
  <c r="O13" i="24"/>
  <c r="O25" i="24"/>
  <c r="O7" i="24"/>
  <c r="O22" i="24"/>
  <c r="O16" i="24"/>
  <c r="O15" i="24"/>
  <c r="O17" i="24"/>
  <c r="O20" i="24"/>
  <c r="O24" i="24"/>
  <c r="O19" i="24"/>
  <c r="O10" i="24"/>
  <c r="O27" i="24"/>
  <c r="O6" i="24"/>
  <c r="O8" i="24"/>
  <c r="O11" i="24"/>
  <c r="O23" i="24"/>
  <c r="O14" i="24"/>
  <c r="O9" i="25"/>
  <c r="O20" i="25"/>
  <c r="O23" i="25"/>
  <c r="O4" i="25"/>
  <c r="O17" i="25"/>
  <c r="O27" i="25"/>
  <c r="O19" i="25"/>
  <c r="O14" i="25"/>
  <c r="O25" i="25"/>
  <c r="O11" i="25"/>
  <c r="O10" i="25"/>
  <c r="O7" i="25"/>
  <c r="O18" i="25"/>
  <c r="O6" i="25"/>
  <c r="O21" i="25"/>
  <c r="O24" i="25"/>
  <c r="O12" i="25"/>
  <c r="O13" i="25"/>
  <c r="O15" i="25"/>
  <c r="O16" i="25"/>
  <c r="O8" i="25"/>
  <c r="O26" i="25"/>
  <c r="O22" i="25"/>
  <c r="O5" i="25"/>
  <c r="L3" i="25"/>
  <c r="N28" i="25"/>
  <c r="L79" i="26"/>
  <c r="L9" i="24"/>
  <c r="M9" i="24"/>
  <c r="K58" i="24"/>
  <c r="L11" i="24"/>
  <c r="M11" i="24"/>
  <c r="K61" i="25"/>
  <c r="K28" i="24"/>
  <c r="K6" i="24"/>
  <c r="K21" i="25"/>
  <c r="L55" i="24"/>
  <c r="M55" i="24"/>
  <c r="L7" i="24"/>
  <c r="M7" i="24"/>
  <c r="L11" i="25"/>
  <c r="M11" i="25"/>
  <c r="L14" i="26"/>
  <c r="M14" i="26"/>
  <c r="L7" i="25"/>
  <c r="M7" i="25"/>
  <c r="K75" i="24"/>
  <c r="K16" i="24"/>
  <c r="K66" i="26"/>
  <c r="K49" i="24"/>
  <c r="K50" i="26"/>
  <c r="L69" i="24"/>
  <c r="M69" i="24"/>
  <c r="L3" i="24"/>
  <c r="N28" i="24"/>
  <c r="J61" i="25"/>
  <c r="J58" i="24"/>
  <c r="J49" i="24"/>
  <c r="J75" i="24"/>
  <c r="J66" i="26"/>
  <c r="J50" i="26"/>
  <c r="J21" i="25"/>
  <c r="L65" i="25"/>
  <c r="M65" i="25"/>
  <c r="N80" i="24"/>
  <c r="L43" i="24"/>
  <c r="N80" i="25"/>
  <c r="L43" i="25"/>
  <c r="N28" i="26"/>
  <c r="L3" i="26"/>
  <c r="J72" i="25"/>
  <c r="K72" i="25"/>
  <c r="J48" i="24"/>
  <c r="K48" i="24"/>
  <c r="J75" i="26"/>
  <c r="K75" i="26"/>
  <c r="J5" i="25"/>
  <c r="K5" i="25"/>
  <c r="L15" i="24"/>
  <c r="M15" i="24"/>
  <c r="J26" i="25"/>
  <c r="K26" i="25"/>
  <c r="L16" i="24"/>
  <c r="M16" i="24"/>
  <c r="L25" i="25"/>
  <c r="M25" i="25"/>
  <c r="J80" i="26"/>
  <c r="K80" i="26"/>
  <c r="L24" i="26"/>
  <c r="M24" i="26"/>
  <c r="J53" i="25"/>
  <c r="K53" i="25"/>
  <c r="L73" i="24"/>
  <c r="M73" i="24"/>
  <c r="J43" i="25"/>
  <c r="K43" i="25"/>
  <c r="J47" i="26"/>
  <c r="K47" i="26"/>
  <c r="L20" i="26"/>
  <c r="M20" i="26"/>
  <c r="J67" i="26"/>
  <c r="K67" i="26"/>
  <c r="J15" i="26"/>
  <c r="K15" i="26"/>
  <c r="J22" i="26"/>
  <c r="K22" i="26"/>
  <c r="M27" i="24"/>
  <c r="L27" i="24"/>
  <c r="J63" i="24"/>
  <c r="K63" i="24"/>
  <c r="J66" i="24"/>
  <c r="K66" i="24"/>
  <c r="J55" i="24"/>
  <c r="K55" i="24"/>
  <c r="L48" i="24"/>
  <c r="M48" i="24"/>
  <c r="L75" i="25"/>
  <c r="M75" i="25"/>
  <c r="J7" i="26"/>
  <c r="K7" i="26"/>
  <c r="J60" i="26"/>
  <c r="K60" i="26"/>
  <c r="J51" i="25"/>
  <c r="K51" i="25"/>
  <c r="L69" i="26"/>
  <c r="M69" i="26"/>
  <c r="J73" i="25"/>
  <c r="K73" i="25"/>
  <c r="J56" i="26"/>
  <c r="K56" i="26"/>
  <c r="J62" i="26"/>
  <c r="K62" i="26"/>
  <c r="J14" i="26"/>
  <c r="K14" i="26"/>
  <c r="J20" i="26"/>
  <c r="K20" i="26"/>
  <c r="L75" i="26"/>
  <c r="M75" i="26"/>
  <c r="L52" i="26"/>
  <c r="M52" i="26"/>
  <c r="J16" i="25"/>
  <c r="K16" i="25"/>
  <c r="J52" i="26"/>
  <c r="K52" i="26"/>
  <c r="K27" i="24"/>
  <c r="L57" i="24"/>
  <c r="M57" i="24"/>
  <c r="L9" i="26"/>
  <c r="M9" i="26"/>
  <c r="J8" i="25"/>
  <c r="K8" i="25"/>
  <c r="J53" i="26"/>
  <c r="K53" i="26"/>
  <c r="M27" i="26"/>
  <c r="L27" i="26"/>
  <c r="L64" i="24"/>
  <c r="M64" i="24"/>
  <c r="J44" i="26"/>
  <c r="K44" i="26"/>
  <c r="J18" i="25"/>
  <c r="K18" i="25"/>
  <c r="J47" i="24"/>
  <c r="K47" i="24"/>
  <c r="K3" i="24"/>
  <c r="L75" i="24"/>
  <c r="M75" i="24"/>
  <c r="J28" i="25"/>
  <c r="K28" i="25"/>
  <c r="J59" i="26"/>
  <c r="K59" i="26"/>
  <c r="J56" i="25"/>
  <c r="K56" i="25"/>
  <c r="L47" i="24"/>
  <c r="M47" i="24"/>
  <c r="J46" i="26"/>
  <c r="K46" i="26"/>
  <c r="L19" i="26"/>
  <c r="M19" i="26"/>
  <c r="K22" i="24"/>
  <c r="L46" i="24"/>
  <c r="M46" i="24"/>
  <c r="J60" i="25"/>
  <c r="K60" i="25"/>
  <c r="J24" i="26"/>
  <c r="K24" i="26"/>
  <c r="J79" i="26"/>
  <c r="K79" i="26"/>
  <c r="K25" i="24"/>
  <c r="J78" i="25"/>
  <c r="K78" i="25"/>
  <c r="L9" i="25"/>
  <c r="M9" i="25"/>
  <c r="L15" i="25"/>
  <c r="M15" i="25"/>
  <c r="L17" i="24"/>
  <c r="M17" i="24"/>
  <c r="L70" i="24"/>
  <c r="M70" i="24"/>
  <c r="J25" i="26"/>
  <c r="K25" i="26"/>
  <c r="L73" i="26"/>
  <c r="M73" i="26"/>
  <c r="L66" i="24"/>
  <c r="M66" i="24"/>
  <c r="J25" i="25"/>
  <c r="K25" i="25"/>
  <c r="M79" i="26"/>
  <c r="L43" i="26"/>
  <c r="N80" i="26"/>
  <c r="J6" i="24"/>
  <c r="J16" i="24"/>
  <c r="J25" i="24"/>
  <c r="J28" i="24"/>
  <c r="J27" i="24"/>
  <c r="J3" i="24"/>
  <c r="J22" i="24"/>
  <c r="J21" i="26"/>
  <c r="K21" i="26"/>
  <c r="L67" i="25"/>
  <c r="M67" i="25"/>
  <c r="J9" i="26"/>
  <c r="K9" i="26"/>
  <c r="L6" i="25"/>
  <c r="M6" i="25"/>
  <c r="J60" i="24"/>
  <c r="K60" i="24"/>
  <c r="L56" i="25"/>
  <c r="M56" i="25"/>
  <c r="J59" i="25"/>
  <c r="K59" i="25"/>
  <c r="L22" i="24"/>
  <c r="M22" i="24"/>
  <c r="L10" i="26"/>
  <c r="M10" i="26"/>
  <c r="J45" i="25"/>
  <c r="K45" i="25"/>
  <c r="L14" i="24"/>
  <c r="M14" i="24"/>
  <c r="L13" i="24"/>
  <c r="M13" i="24"/>
  <c r="J55" i="26"/>
  <c r="K55" i="26"/>
  <c r="L71" i="24"/>
  <c r="M71" i="24"/>
  <c r="J57" i="26"/>
  <c r="K57" i="26"/>
  <c r="J67" i="24"/>
  <c r="K67" i="24"/>
  <c r="L45" i="24"/>
  <c r="M45" i="24"/>
  <c r="J77" i="24"/>
  <c r="K77" i="24"/>
  <c r="J61" i="24"/>
  <c r="K61" i="24"/>
  <c r="J74" i="26"/>
  <c r="K74" i="26"/>
  <c r="L17" i="25"/>
  <c r="M17" i="25"/>
  <c r="L63" i="24"/>
  <c r="M63" i="24"/>
  <c r="J68" i="24"/>
  <c r="K68" i="24"/>
  <c r="L52" i="25"/>
  <c r="M52" i="25"/>
  <c r="L15" i="26"/>
  <c r="M15" i="26"/>
  <c r="L52" i="24"/>
  <c r="M52" i="24"/>
  <c r="L22" i="25"/>
  <c r="M22" i="25"/>
  <c r="L56" i="24"/>
  <c r="M56" i="24"/>
  <c r="L70" i="25"/>
  <c r="M70" i="25"/>
  <c r="L55" i="25"/>
  <c r="M55" i="25"/>
  <c r="L77" i="25"/>
  <c r="M77" i="25"/>
  <c r="J19" i="24"/>
  <c r="K19" i="24"/>
  <c r="L23" i="24"/>
  <c r="M23" i="24"/>
  <c r="J13" i="25"/>
  <c r="K13" i="25"/>
  <c r="L49" i="24"/>
  <c r="M49" i="24"/>
  <c r="L5" i="24"/>
  <c r="M5" i="24"/>
  <c r="L26" i="24"/>
  <c r="M26" i="24"/>
  <c r="J69" i="26"/>
  <c r="K69" i="26"/>
  <c r="L48" i="26"/>
  <c r="M48" i="26"/>
  <c r="L71" i="26"/>
  <c r="M71" i="26"/>
  <c r="J4" i="26"/>
  <c r="K4" i="26"/>
  <c r="L54" i="26"/>
  <c r="M54" i="26"/>
  <c r="J58" i="25"/>
  <c r="K58" i="25"/>
  <c r="L18" i="25"/>
  <c r="M18" i="25"/>
  <c r="L19" i="24"/>
  <c r="M19" i="24"/>
  <c r="J27" i="25"/>
  <c r="K27" i="25"/>
  <c r="J8" i="26"/>
  <c r="K8" i="26"/>
  <c r="J17" i="25"/>
  <c r="K17" i="25"/>
  <c r="L69" i="25"/>
  <c r="M69" i="25"/>
  <c r="L53" i="24"/>
  <c r="M53" i="24"/>
  <c r="L46" i="25"/>
  <c r="M46" i="25"/>
  <c r="J48" i="25"/>
  <c r="K48" i="25"/>
  <c r="J10" i="25"/>
  <c r="K10" i="25"/>
  <c r="L76" i="24"/>
  <c r="M76" i="24"/>
  <c r="L60" i="24"/>
  <c r="M60" i="24"/>
  <c r="L45" i="26"/>
  <c r="M45" i="26"/>
  <c r="L63" i="26"/>
  <c r="M63" i="26"/>
  <c r="J64" i="25"/>
  <c r="K64" i="25"/>
  <c r="J69" i="24"/>
  <c r="K69" i="24"/>
  <c r="L25" i="26"/>
  <c r="M25" i="26"/>
  <c r="J72" i="24"/>
  <c r="K72" i="24"/>
  <c r="L26" i="26"/>
  <c r="M26" i="26"/>
  <c r="L61" i="25"/>
  <c r="M61" i="25"/>
  <c r="J80" i="25"/>
  <c r="K80" i="25"/>
  <c r="J63" i="25"/>
  <c r="K63" i="25"/>
  <c r="L57" i="26"/>
  <c r="M57" i="26"/>
  <c r="L51" i="26"/>
  <c r="M51" i="26"/>
  <c r="L67" i="26"/>
  <c r="M67" i="26"/>
  <c r="J14" i="25"/>
  <c r="K14" i="25"/>
  <c r="L6" i="24"/>
  <c r="M6" i="24"/>
  <c r="L65" i="26"/>
  <c r="M65" i="26"/>
  <c r="J78" i="24"/>
  <c r="K78" i="24"/>
  <c r="J69" i="25"/>
  <c r="K69" i="25"/>
  <c r="L55" i="26"/>
  <c r="M55" i="26"/>
  <c r="J12" i="26"/>
  <c r="K12" i="26"/>
  <c r="L59" i="26"/>
  <c r="M59" i="26"/>
  <c r="J74" i="24"/>
  <c r="K74" i="24"/>
  <c r="L61" i="26"/>
  <c r="M61" i="26"/>
  <c r="L72" i="25"/>
  <c r="M72" i="25"/>
  <c r="J64" i="26"/>
  <c r="K64" i="26"/>
  <c r="J70" i="25"/>
  <c r="K70" i="25"/>
  <c r="J54" i="24"/>
  <c r="K54" i="24"/>
  <c r="J7" i="25"/>
  <c r="K7" i="25"/>
  <c r="J71" i="24"/>
  <c r="K71" i="24"/>
  <c r="J70" i="24"/>
  <c r="K70" i="24"/>
  <c r="J45" i="26"/>
  <c r="K45" i="26"/>
  <c r="J50" i="24"/>
  <c r="K50" i="24"/>
  <c r="J65" i="26"/>
  <c r="K65" i="26"/>
  <c r="J47" i="25"/>
  <c r="K47" i="25"/>
  <c r="J11" i="25"/>
  <c r="K11" i="25"/>
  <c r="L57" i="25"/>
  <c r="M57" i="25"/>
  <c r="L12" i="25"/>
  <c r="M12" i="25"/>
  <c r="J13" i="26"/>
  <c r="K13" i="26"/>
  <c r="J14" i="24"/>
  <c r="K14" i="24"/>
  <c r="J10" i="26"/>
  <c r="K10" i="26"/>
  <c r="L20" i="24"/>
  <c r="M20" i="24"/>
  <c r="L20" i="25"/>
  <c r="M20" i="25"/>
  <c r="J27" i="26"/>
  <c r="K27" i="26"/>
  <c r="J46" i="25"/>
  <c r="K46" i="25"/>
  <c r="L44" i="24"/>
  <c r="M44" i="24"/>
  <c r="L53" i="25"/>
  <c r="M53" i="25"/>
  <c r="J52" i="24"/>
  <c r="K52" i="24"/>
  <c r="L23" i="26"/>
  <c r="M23" i="26"/>
  <c r="L60" i="26"/>
  <c r="M60" i="26"/>
  <c r="J76" i="25"/>
  <c r="K76" i="25"/>
  <c r="J8" i="24"/>
  <c r="K8" i="24"/>
  <c r="L7" i="26"/>
  <c r="M7" i="26"/>
  <c r="L44" i="26"/>
  <c r="M44" i="26"/>
  <c r="L68" i="26"/>
  <c r="M68" i="26"/>
  <c r="J21" i="24"/>
  <c r="K21" i="24"/>
  <c r="J49" i="26"/>
  <c r="K49" i="26"/>
  <c r="J54" i="25"/>
  <c r="K54" i="25"/>
  <c r="L73" i="25"/>
  <c r="M73" i="25"/>
  <c r="J9" i="25"/>
  <c r="K9" i="25"/>
  <c r="J44" i="25"/>
  <c r="K44" i="25"/>
  <c r="L56" i="26"/>
  <c r="M56" i="26"/>
  <c r="L14" i="25"/>
  <c r="M14" i="25"/>
  <c r="L21" i="24"/>
  <c r="M21" i="24"/>
  <c r="J68" i="25"/>
  <c r="K68" i="25"/>
  <c r="L16" i="26"/>
  <c r="M16" i="26"/>
  <c r="J44" i="24"/>
  <c r="K44" i="24"/>
  <c r="J23" i="24"/>
  <c r="K23" i="24"/>
  <c r="L49" i="25"/>
  <c r="M49" i="25"/>
  <c r="L21" i="26"/>
  <c r="M21" i="26"/>
  <c r="J67" i="25"/>
  <c r="K67" i="25"/>
  <c r="J15" i="24"/>
  <c r="K15" i="24"/>
  <c r="L72" i="24"/>
  <c r="M72" i="24"/>
  <c r="L63" i="25"/>
  <c r="M63" i="25"/>
  <c r="J43" i="24"/>
  <c r="K43" i="24"/>
  <c r="J5" i="24"/>
  <c r="K5" i="24"/>
  <c r="J70" i="26"/>
  <c r="K70" i="26"/>
  <c r="J6" i="25"/>
  <c r="K6" i="25"/>
  <c r="J18" i="24"/>
  <c r="K18" i="24"/>
  <c r="L72" i="26"/>
  <c r="M72" i="26"/>
  <c r="J3" i="25"/>
  <c r="K3" i="25"/>
  <c r="L50" i="26"/>
  <c r="M50" i="26"/>
  <c r="J71" i="25"/>
  <c r="K71" i="25"/>
  <c r="J77" i="25"/>
  <c r="K77" i="25"/>
  <c r="J5" i="26"/>
  <c r="K5" i="26"/>
  <c r="L24" i="25"/>
  <c r="M24" i="25"/>
  <c r="L49" i="26"/>
  <c r="M49" i="26"/>
  <c r="J6" i="26"/>
  <c r="K6" i="26"/>
  <c r="J18" i="26"/>
  <c r="K18" i="26"/>
  <c r="L5" i="26"/>
  <c r="M5" i="26"/>
  <c r="J4" i="25"/>
  <c r="K4" i="25"/>
  <c r="J73" i="24"/>
  <c r="K73" i="24"/>
  <c r="L74" i="24"/>
  <c r="M74" i="24"/>
  <c r="L74" i="26"/>
  <c r="M74" i="26"/>
  <c r="J52" i="25"/>
  <c r="K52" i="25"/>
  <c r="J74" i="25"/>
  <c r="K74" i="25"/>
  <c r="L47" i="25"/>
  <c r="M47" i="25"/>
  <c r="J59" i="24"/>
  <c r="K59" i="24"/>
  <c r="L65" i="24"/>
  <c r="M65" i="24"/>
  <c r="J13" i="24"/>
  <c r="K13" i="24"/>
  <c r="J9" i="24"/>
  <c r="K9" i="24"/>
  <c r="J57" i="25"/>
  <c r="K57" i="25"/>
  <c r="L46" i="26"/>
  <c r="M46" i="26"/>
  <c r="J76" i="24"/>
  <c r="K76" i="24"/>
  <c r="L50" i="24"/>
  <c r="M50" i="24"/>
  <c r="L47" i="26"/>
  <c r="M47" i="26"/>
  <c r="L11" i="26"/>
  <c r="M11" i="26"/>
  <c r="J24" i="25"/>
  <c r="K24" i="25"/>
  <c r="J61" i="26"/>
  <c r="K61" i="26"/>
  <c r="L18" i="24"/>
  <c r="M18" i="24"/>
  <c r="L77" i="26"/>
  <c r="M77" i="26"/>
  <c r="J63" i="26"/>
  <c r="K63" i="26"/>
  <c r="J28" i="26"/>
  <c r="K28" i="26"/>
  <c r="L54" i="24"/>
  <c r="M54" i="24"/>
  <c r="L13" i="26"/>
  <c r="M13" i="26"/>
  <c r="L78" i="25"/>
  <c r="M78" i="25"/>
  <c r="J54" i="26"/>
  <c r="K54" i="26"/>
  <c r="J12" i="24"/>
  <c r="K12" i="24"/>
  <c r="J26" i="24"/>
  <c r="K26" i="24"/>
  <c r="L22" i="26"/>
  <c r="M22" i="26"/>
  <c r="J51" i="24"/>
  <c r="K51" i="24"/>
  <c r="L51" i="25"/>
  <c r="M51" i="25"/>
  <c r="L6" i="26"/>
  <c r="M6" i="26"/>
  <c r="L76" i="25"/>
  <c r="M76" i="25"/>
  <c r="J57" i="24"/>
  <c r="K57" i="24"/>
  <c r="J3" i="26"/>
  <c r="K3" i="26"/>
  <c r="J20" i="24"/>
  <c r="K20" i="24"/>
  <c r="J26" i="26"/>
  <c r="K26" i="26"/>
  <c r="J20" i="25"/>
  <c r="K20" i="25"/>
  <c r="J11" i="24"/>
  <c r="K11" i="24"/>
  <c r="J22" i="25"/>
  <c r="K22" i="25"/>
  <c r="J4" i="24"/>
  <c r="K4" i="24"/>
  <c r="J19" i="26"/>
  <c r="K19" i="26"/>
  <c r="L26" i="25"/>
  <c r="M26" i="25"/>
  <c r="L64" i="26"/>
  <c r="M64" i="26"/>
  <c r="L48" i="25"/>
  <c r="M48" i="25"/>
  <c r="L71" i="25"/>
  <c r="M71" i="25"/>
  <c r="J50" i="25"/>
  <c r="K50" i="25"/>
  <c r="J10" i="24"/>
  <c r="K10" i="24"/>
  <c r="J65" i="25"/>
  <c r="K65" i="25"/>
  <c r="J49" i="25"/>
  <c r="K49" i="25"/>
  <c r="J78" i="26"/>
  <c r="K78" i="26"/>
  <c r="J53" i="24"/>
  <c r="K53" i="24"/>
  <c r="J24" i="24"/>
  <c r="K24" i="24"/>
  <c r="L50" i="25"/>
  <c r="M50" i="25"/>
  <c r="L78" i="24"/>
  <c r="M78" i="24"/>
  <c r="J80" i="24"/>
  <c r="K80" i="24"/>
  <c r="J73" i="26"/>
  <c r="K73" i="26"/>
  <c r="J16" i="26"/>
  <c r="K16" i="26"/>
  <c r="L21" i="25"/>
  <c r="M21" i="25"/>
  <c r="L60" i="25"/>
  <c r="M60" i="25"/>
  <c r="L66" i="25"/>
  <c r="M66" i="25"/>
  <c r="J77" i="26"/>
  <c r="K77" i="26"/>
  <c r="M27" i="25"/>
  <c r="L27" i="25"/>
  <c r="J56" i="24"/>
  <c r="K56" i="24"/>
  <c r="J55" i="25"/>
  <c r="K55" i="25"/>
  <c r="J17" i="26"/>
  <c r="K17" i="26"/>
  <c r="L23" i="25"/>
  <c r="M23" i="25"/>
  <c r="J68" i="26"/>
  <c r="K68" i="26"/>
  <c r="L44" i="25"/>
  <c r="M44" i="25"/>
  <c r="L74" i="25"/>
  <c r="M74" i="25"/>
  <c r="J23" i="26"/>
  <c r="K23" i="26"/>
  <c r="J15" i="25"/>
  <c r="K15" i="25"/>
  <c r="J79" i="24"/>
  <c r="K79" i="24"/>
  <c r="L68" i="24"/>
  <c r="M68" i="24"/>
  <c r="J43" i="26"/>
  <c r="K43" i="26"/>
  <c r="L12" i="26"/>
  <c r="M12" i="26"/>
  <c r="J58" i="26"/>
  <c r="K58" i="26"/>
  <c r="L66" i="26"/>
  <c r="M66" i="26"/>
  <c r="L68" i="25"/>
  <c r="M68" i="25"/>
  <c r="J48" i="26"/>
  <c r="K48" i="26"/>
  <c r="J7" i="24"/>
  <c r="K7" i="24"/>
  <c r="L10" i="24"/>
  <c r="M10" i="24"/>
  <c r="L5" i="25"/>
  <c r="M5" i="25"/>
  <c r="L59" i="25"/>
  <c r="M59" i="25"/>
  <c r="M79" i="25"/>
  <c r="L79" i="25"/>
  <c r="J12" i="25"/>
  <c r="K12" i="25"/>
  <c r="J62" i="24"/>
  <c r="K62" i="24"/>
  <c r="J19" i="25"/>
  <c r="K19" i="25"/>
  <c r="L54" i="25"/>
  <c r="M54" i="25"/>
  <c r="J64" i="24"/>
  <c r="K64" i="24"/>
  <c r="L17" i="26"/>
  <c r="M17" i="26"/>
  <c r="J66" i="25"/>
  <c r="K66" i="25"/>
  <c r="J75" i="25"/>
  <c r="K75" i="25"/>
  <c r="L67" i="24"/>
  <c r="M67" i="24"/>
  <c r="J45" i="24"/>
  <c r="K45" i="24"/>
  <c r="L25" i="24"/>
  <c r="M25" i="24"/>
  <c r="L78" i="26"/>
  <c r="M78" i="26"/>
  <c r="L59" i="24"/>
  <c r="M59" i="24"/>
  <c r="M79" i="24"/>
  <c r="L79" i="24"/>
  <c r="L45" i="25"/>
  <c r="M45" i="25"/>
  <c r="L64" i="25"/>
  <c r="M64" i="25"/>
  <c r="L16" i="25"/>
  <c r="M16" i="25"/>
  <c r="L77" i="24"/>
  <c r="M77" i="24"/>
  <c r="J72" i="26"/>
  <c r="K72" i="26"/>
  <c r="L12" i="24"/>
  <c r="M12" i="24"/>
  <c r="L18" i="26"/>
  <c r="M18" i="26"/>
  <c r="L19" i="25"/>
  <c r="M19" i="25"/>
  <c r="L10" i="25"/>
  <c r="M10" i="25"/>
  <c r="J17" i="24"/>
  <c r="K17" i="24"/>
  <c r="J71" i="26"/>
  <c r="K71" i="26"/>
  <c r="L53" i="26"/>
  <c r="M53" i="26"/>
  <c r="L76" i="26"/>
  <c r="M76" i="26"/>
  <c r="J62" i="25"/>
  <c r="K62" i="25"/>
  <c r="J76" i="26"/>
  <c r="K76" i="26"/>
  <c r="L4" i="25"/>
  <c r="M4" i="25"/>
  <c r="J23" i="25"/>
  <c r="K23" i="25"/>
  <c r="L70" i="26"/>
  <c r="M70" i="26"/>
  <c r="L51" i="24"/>
  <c r="M51" i="24"/>
  <c r="L8" i="25"/>
  <c r="M8" i="25"/>
  <c r="L13" i="25"/>
  <c r="M13" i="25"/>
  <c r="J46" i="24"/>
  <c r="K46" i="24"/>
  <c r="L4" i="26"/>
  <c r="M4" i="26"/>
  <c r="J11" i="26"/>
  <c r="K11" i="26"/>
  <c r="L62" i="26"/>
  <c r="M62" i="26"/>
  <c r="L58" i="26"/>
  <c r="M58" i="26"/>
  <c r="J51" i="26"/>
  <c r="K51" i="26"/>
  <c r="L24" i="24"/>
  <c r="M24" i="24"/>
  <c r="J79" i="25"/>
  <c r="K79" i="25"/>
  <c r="L61" i="24"/>
  <c r="M61" i="24"/>
  <c r="L8" i="26"/>
  <c r="M8" i="26"/>
  <c r="L8" i="24"/>
  <c r="M8" i="24"/>
  <c r="L4" i="24"/>
  <c r="M4" i="24"/>
  <c r="L62" i="24"/>
  <c r="M62" i="24"/>
  <c r="L58" i="24"/>
  <c r="M58" i="24"/>
  <c r="J65" i="24"/>
  <c r="K65" i="24"/>
  <c r="L62" i="25"/>
  <c r="M62" i="25"/>
  <c r="L58" i="25"/>
  <c r="M58" i="25"/>
</calcChain>
</file>

<file path=xl/sharedStrings.xml><?xml version="1.0" encoding="utf-8"?>
<sst xmlns="http://schemas.openxmlformats.org/spreadsheetml/2006/main" count="3522" uniqueCount="1296">
  <si>
    <t>1. Functional Requirements</t>
  </si>
  <si>
    <t>Requirement ID</t>
  </si>
  <si>
    <t>Title</t>
  </si>
  <si>
    <t>Description</t>
  </si>
  <si>
    <t>Interest Calculation</t>
  </si>
  <si>
    <t>Monotonic Decrease</t>
  </si>
  <si>
    <t>Non-negative Balance</t>
  </si>
  <si>
    <t>Rounding Rule</t>
  </si>
  <si>
    <t>FR-LE-01</t>
  </si>
  <si>
    <t>FR-LE-02</t>
  </si>
  <si>
    <t>FR-LE-03</t>
  </si>
  <si>
    <t>FR-LE-04</t>
  </si>
  <si>
    <t>FR-LE-05</t>
  </si>
  <si>
    <t>FR-LE-06</t>
  </si>
  <si>
    <t>FR-LE-07</t>
  </si>
  <si>
    <t>FR-LE-08</t>
  </si>
  <si>
    <t>FR-LE-09</t>
  </si>
  <si>
    <t>Schedule Generation</t>
  </si>
  <si>
    <t>Down Payment Calculation</t>
  </si>
  <si>
    <t>Residual Value Calculation</t>
  </si>
  <si>
    <t>Financed Amount Calculation</t>
  </si>
  <si>
    <t>Annuity Calculation</t>
  </si>
  <si>
    <t>Principal Calculation</t>
  </si>
  <si>
    <t>Final Adjustment</t>
  </si>
  <si>
    <t>Schedule Structure</t>
  </si>
  <si>
    <t>The system shall generate a leasing payment schedule based on contract parameters.</t>
  </si>
  <si>
    <t>The system shall compute the down payment amount from the given percentage.</t>
  </si>
  <si>
    <t>The system shall compute the financed amount as asset value minus down payment.</t>
  </si>
  <si>
    <t>The system shall compute interest per period based on outstanding balance.</t>
  </si>
  <si>
    <t>The system shall compute principal as annuity minus interest.</t>
  </si>
  <si>
    <t>The system shall adjust the last installment to match the residual value.</t>
  </si>
  <si>
    <t>CR-LE-01</t>
  </si>
  <si>
    <t>CR-LE-02</t>
  </si>
  <si>
    <t>CR-LE-03</t>
  </si>
  <si>
    <t>CR-LE-04</t>
  </si>
  <si>
    <t>CR-LE-05</t>
  </si>
  <si>
    <t>CR-LE-06</t>
  </si>
  <si>
    <t>CR-LE-07</t>
  </si>
  <si>
    <t>Financed Amount</t>
  </si>
  <si>
    <t>Periodic Rate</t>
  </si>
  <si>
    <t>Annuity</t>
  </si>
  <si>
    <t>Zero Rate Case</t>
  </si>
  <si>
    <t>Interest</t>
  </si>
  <si>
    <t>Principal</t>
  </si>
  <si>
    <t>PV = V − A</t>
  </si>
  <si>
    <t>r = (r_annual / 100) / m</t>
  </si>
  <si>
    <t>PMT = [ r × (PV − FV / (1 + r)^N) ] / [ 1 − (1 + r)^(−N) ]</t>
  </si>
  <si>
    <t>PMT = (PV − FV) / N</t>
  </si>
  <si>
    <t>Principal(k) = round(PMT − Interest(k), 2)</t>
  </si>
  <si>
    <t>BR-LE-01</t>
  </si>
  <si>
    <t>BR-LE-02</t>
  </si>
  <si>
    <t>BR-LE-03</t>
  </si>
  <si>
    <t>BR-LE-04</t>
  </si>
  <si>
    <t>BR-LE-05</t>
  </si>
  <si>
    <t>BR-LE-06</t>
  </si>
  <si>
    <t>Fixed Interest</t>
  </si>
  <si>
    <t>Residual Value Integrity</t>
  </si>
  <si>
    <t>Date Rule</t>
  </si>
  <si>
    <t>Outstanding balance decreases toward residual value.</t>
  </si>
  <si>
    <t>Outstanding balance shall not become negative.</t>
  </si>
  <si>
    <t>All financial values shall be rounded to 2 decimals.</t>
  </si>
  <si>
    <t>Final balance shall equal the residual value.</t>
  </si>
  <si>
    <t>IC-LE-01</t>
  </si>
  <si>
    <t>IC-LE-02</t>
  </si>
  <si>
    <t>IC-LE-03</t>
  </si>
  <si>
    <t>IC-LE-04</t>
  </si>
  <si>
    <t>IC-LE-05</t>
  </si>
  <si>
    <t>IC-LE-06</t>
  </si>
  <si>
    <t>Asset value &gt; 0</t>
  </si>
  <si>
    <t>Down payment % ∈ [0,100]</t>
  </si>
  <si>
    <t>Residual value % ∈ [0,100]</t>
  </si>
  <si>
    <t>Number of years &gt; 0</t>
  </si>
  <si>
    <t>Payments per year &gt; 0</t>
  </si>
  <si>
    <t>Interest rate ≥ 0</t>
  </si>
  <si>
    <t>PR-LE-01</t>
  </si>
  <si>
    <t>PR-LE-02</t>
  </si>
  <si>
    <t>PR-LE-03</t>
  </si>
  <si>
    <t>User shall add a row and input contract data before generating the schedule.</t>
  </si>
  <si>
    <t>System shall generate schedule when “(Re)Build Plan” is pressed.</t>
  </si>
  <si>
    <t>Master–Detail Display</t>
  </si>
  <si>
    <t>Schedule Attributes Display</t>
  </si>
  <si>
    <t>2. Computational Rules</t>
  </si>
  <si>
    <t>3. Business Rules</t>
  </si>
  <si>
    <t>4. Input Constraints</t>
  </si>
  <si>
    <t>5. Process Requirements</t>
  </si>
  <si>
    <t>Add Simulation Row</t>
  </si>
  <si>
    <t>The system shall allow the user to create a leasing simulation by adding a row in the input grid.</t>
  </si>
  <si>
    <t>Save Before Generation</t>
  </si>
  <si>
    <t>The system shall save the leasing input row before schedule generation.</t>
  </si>
  <si>
    <t>Regeneration After Changes</t>
  </si>
  <si>
    <t>The system shall compute the residual value amount from the given percentage.</t>
  </si>
  <si>
    <t>Number of Installments Calculation</t>
  </si>
  <si>
    <t>The system shall compute the number of installments as Number of years × Payments per year.</t>
  </si>
  <si>
    <t>FR-LE-10</t>
  </si>
  <si>
    <t>FR-LE-11</t>
  </si>
  <si>
    <t>FR-LE-12</t>
  </si>
  <si>
    <t>FR-LE-13</t>
  </si>
  <si>
    <t>The system shall include: Down payment row, Installments 1…N, Residual value row.</t>
  </si>
  <si>
    <t>FR-LE-14</t>
  </si>
  <si>
    <t>The schedule shall be shown only for the selected lease ID.</t>
  </si>
  <si>
    <t>FR-LE-15</t>
  </si>
  <si>
    <t>The schedule shall include at least: payment number, payment date, year, annuity, principal, interest, and residual value row indicator/value.</t>
  </si>
  <si>
    <t>FR-LE-16</t>
  </si>
  <si>
    <t>Centralized Leasing Overview</t>
  </si>
  <si>
    <t>The system shall support a centralized view of leasing simulations.</t>
  </si>
  <si>
    <t>FR-LE-17</t>
  </si>
  <si>
    <t>Derived Fields Display</t>
  </si>
  <si>
    <t>The system shall automatically compute and display down payment amount, residual value amount, financed amount, and number of installments.</t>
  </si>
  <si>
    <t>Down Payment Amount</t>
  </si>
  <si>
    <t>Down payment amount = Asset value × Down payment percentage</t>
  </si>
  <si>
    <t>Residual Value Amount</t>
  </si>
  <si>
    <t>Residual value amount = Asset value × Residual value percentage</t>
  </si>
  <si>
    <t>Number of Installments</t>
  </si>
  <si>
    <t>N = Number of years × Payments per year</t>
  </si>
  <si>
    <t>CR-LE-08</t>
  </si>
  <si>
    <t>CR-LE-09</t>
  </si>
  <si>
    <t>CR-LE-10</t>
  </si>
  <si>
    <t>All installment payment dates shall be end-of-month dates.</t>
  </si>
  <si>
    <t>BR-LE-07</t>
  </si>
  <si>
    <t>Down Payment Date Rule</t>
  </si>
  <si>
    <t>The down payment row shall be dated with the contract date.</t>
  </si>
  <si>
    <t>BR-LE-08</t>
  </si>
  <si>
    <t>Residual Value Date Rule</t>
  </si>
  <si>
    <t>The residual value row shall be dated at maturity on the same date as the last installment.</t>
  </si>
  <si>
    <t>BR-LE-09</t>
  </si>
  <si>
    <t>Final Balance Convergence</t>
  </si>
  <si>
    <t>The outstanding balance shall converge exactly to the residual value amount after the final installment.</t>
  </si>
  <si>
    <t>Contract date must be provided</t>
  </si>
  <si>
    <t>Down payment percentage must be provided</t>
  </si>
  <si>
    <t>Residual value percentage must be provided</t>
  </si>
  <si>
    <t>IC-LE-07</t>
  </si>
  <si>
    <t>Annual interest rate must be provided</t>
  </si>
  <si>
    <t>IC-LE-08</t>
  </si>
  <si>
    <t>IC-LE-09</t>
  </si>
  <si>
    <t>IC-LE-10</t>
  </si>
  <si>
    <t>IC-LE-11</t>
  </si>
  <si>
    <t>The displayed number of installments shall equal Number of years × Payments per year</t>
  </si>
  <si>
    <t>IC-LE-12</t>
  </si>
  <si>
    <t>Company and Leasing provider are optional descriptive fields</t>
  </si>
  <si>
    <t>The system shall require the leasing data to be saved before schedule generation.</t>
  </si>
  <si>
    <t>PR-LE-04</t>
  </si>
  <si>
    <t>PR-LE-05</t>
  </si>
  <si>
    <t>The schedule grid shall show only rows belonging to the selected lease ID.</t>
  </si>
  <si>
    <t>PR-LE-06</t>
  </si>
  <si>
    <t>The left region shall function as the editable leasing input grid.</t>
  </si>
  <si>
    <t>PR-LE-07</t>
  </si>
  <si>
    <t>The right region shall function as the schedule grid for the selected lease.</t>
  </si>
  <si>
    <t>PR-LE-08</t>
  </si>
  <si>
    <t>The user workflow shall be: Add Row → Enter required data → Save → Press “(Re)Build Plan” → Modify if needed → Save again → Press “(Re)Build Plan” again.</t>
  </si>
  <si>
    <t>PR-LE-09</t>
  </si>
  <si>
    <t>The leasing header grid shall support insert, update, and delete operations.</t>
  </si>
  <si>
    <t>PR-LE-10</t>
  </si>
  <si>
    <t>The system shall regenerate the schedule when simulation parameters are modified, saved, and “(Re)Build Plan” is pressed again.</t>
  </si>
  <si>
    <t>Principal(N) = round(B(N−1) − FV, 2); PMT(N) = round(Principal(N) + Interest(N), 2)</t>
  </si>
  <si>
    <t>System shall regenerate schedule after input modification, save and "(Re)Build Plan" button press.</t>
  </si>
  <si>
    <t>The system shall compute a constant annuity for regular installments, with the final installment adjusted if necessary to ensure convergence to the residual value.</t>
  </si>
  <si>
    <t>Interest rate (%) remains constant, while the interest amount per period is computed based on the decreasing outstanding balance</t>
  </si>
  <si>
    <t>B(0) = financed amount; 
Interest(k) = round(B(k−1) × r, 2)</t>
  </si>
  <si>
    <t xml:space="preserve">The schedule values shall be generated from the saved leasing input data when “(Re)Build Plan” is executed. </t>
  </si>
  <si>
    <t>Test Case ID</t>
  </si>
  <si>
    <t>Preconditions</t>
  </si>
  <si>
    <t>Input Data</t>
  </si>
  <si>
    <t>Test Steps</t>
  </si>
  <si>
    <t>Expected Result</t>
  </si>
  <si>
    <t>None</t>
  </si>
  <si>
    <t>TC-POS-01</t>
  </si>
  <si>
    <t>TC-POS-02</t>
  </si>
  <si>
    <t>TC-POS-03</t>
  </si>
  <si>
    <t>TC-NEG-01</t>
  </si>
  <si>
    <t>TC-NEG-02</t>
  </si>
  <si>
    <t>TC-NEG-03</t>
  </si>
  <si>
    <t>TC-NEG-04</t>
  </si>
  <si>
    <t>TC-NEG-05</t>
  </si>
  <si>
    <t>TC-BND-01</t>
  </si>
  <si>
    <t>TC-BND-02</t>
  </si>
  <si>
    <t>TC-BND-03</t>
  </si>
  <si>
    <t>TC-BND-04</t>
  </si>
  <si>
    <t>TC-BND-05</t>
  </si>
  <si>
    <t>TC-POS-001</t>
  </si>
  <si>
    <t>TC-POS-002</t>
  </si>
  <si>
    <t>TC-POS-003</t>
  </si>
  <si>
    <t>TC-POS-004</t>
  </si>
  <si>
    <t>TC-POS-005</t>
  </si>
  <si>
    <t>Schedule generated.</t>
  </si>
  <si>
    <t>TC-POS-006</t>
  </si>
  <si>
    <t>TC-POS-007</t>
  </si>
  <si>
    <t>TC-POS-008</t>
  </si>
  <si>
    <t>TC-POS-009</t>
  </si>
  <si>
    <t>TC-POS-010</t>
  </si>
  <si>
    <t>TC-POS-011</t>
  </si>
  <si>
    <t>TC-POS-012</t>
  </si>
  <si>
    <t>TC-POS-013</t>
  </si>
  <si>
    <t>TC-POS-014</t>
  </si>
  <si>
    <t>TC-POS-015</t>
  </si>
  <si>
    <t>TC-POS-016</t>
  </si>
  <si>
    <t>System accessible.</t>
  </si>
  <si>
    <t>TC-POS-017</t>
  </si>
  <si>
    <t>TC-POS-018</t>
  </si>
  <si>
    <t>TC-POS-019</t>
  </si>
  <si>
    <t>TC-POS-020</t>
  </si>
  <si>
    <t>TC-POS-021</t>
  </si>
  <si>
    <t>TC-POS-022</t>
  </si>
  <si>
    <t>TC-POS-023</t>
  </si>
  <si>
    <t>TC-POS-024</t>
  </si>
  <si>
    <t>TC-NEG-001</t>
  </si>
  <si>
    <t>TC-NEG-002</t>
  </si>
  <si>
    <t>TC-NEG-003</t>
  </si>
  <si>
    <t>TC-NEG-004</t>
  </si>
  <si>
    <t>TC-NEG-005</t>
  </si>
  <si>
    <t>TC-NEG-006</t>
  </si>
  <si>
    <t>TC-NEG-007</t>
  </si>
  <si>
    <t>TC-NEG-008</t>
  </si>
  <si>
    <t>TC-NEG-009</t>
  </si>
  <si>
    <t>TC-NEG-010</t>
  </si>
  <si>
    <t>TC-NEG-011</t>
  </si>
  <si>
    <t>TC-NEG-012</t>
  </si>
  <si>
    <t>TC-NEG-013</t>
  </si>
  <si>
    <t>TC-NEG-014</t>
  </si>
  <si>
    <t>TC-BND-001</t>
  </si>
  <si>
    <t>TC-BND-002</t>
  </si>
  <si>
    <t>TC-BND-003</t>
  </si>
  <si>
    <t>TC-BND-004</t>
  </si>
  <si>
    <t>TC-BND-005</t>
  </si>
  <si>
    <t>TC-BND-006</t>
  </si>
  <si>
    <t>TC-BND-007</t>
  </si>
  <si>
    <t>TC-BND-008</t>
  </si>
  <si>
    <t>TC-BND-009</t>
  </si>
  <si>
    <t>TC-BND-010</t>
  </si>
  <si>
    <t>TC-BND-011</t>
  </si>
  <si>
    <t>TC-BND-012</t>
  </si>
  <si>
    <t>TC-BND-013</t>
  </si>
  <si>
    <t>TC-BND-014</t>
  </si>
  <si>
    <t>TC-BND-015</t>
  </si>
  <si>
    <t>TC-BND-016</t>
  </si>
  <si>
    <t>TC-BND-017</t>
  </si>
  <si>
    <t>Very high interest rate</t>
  </si>
  <si>
    <t>TC-BND-018</t>
  </si>
  <si>
    <t>TC-BND-019</t>
  </si>
  <si>
    <t>TC-BND-020</t>
  </si>
  <si>
    <t>Positive test cases</t>
  </si>
  <si>
    <t>P-LE-001</t>
  </si>
  <si>
    <t>Add leasing simulation row successfully</t>
  </si>
  <si>
    <t>User is on Leasing Simulator screen; left region input grid is available</t>
  </si>
  <si>
    <t>1. Click Add Row in the leasing header grid.</t>
  </si>
  <si>
    <t>A new editable leasing input row is created in the left region grid.</t>
  </si>
  <si>
    <t>P-LE-002</t>
  </si>
  <si>
    <t>Save leasing input row before schedule generation</t>
  </si>
  <si>
    <t>New row exists in input grid</t>
  </si>
  <si>
    <t>Contract date=2026-01-15; Asset value=100000; Down payment %=10; Residual value %=20; Annual interest rate=12; Number of years=2; Payments per year=12; Company blank; Leasing provider blank</t>
  </si>
  <si>
    <t>1. Add Row. 2. Enter input data. 3. Click Save.</t>
  </si>
  <si>
    <t>Row is saved successfully. Derived fields are automatically computed and displayed: Down payment amount=10000.00; Residual value amount=20000.00; Financed amount=90000.00; Number of installments=24.</t>
  </si>
  <si>
    <t>P-LE-003</t>
  </si>
  <si>
    <t>Generate schedule after save</t>
  </si>
  <si>
    <t>Saved leasing row exists</t>
  </si>
  <si>
    <t>Same as P-LE-002</t>
  </si>
  <si>
    <t>1. Select saved lease row. 2. Click “(Re)Build Plan”.</t>
  </si>
  <si>
    <t>Schedule is generated from saved leasing input data and displayed in the right region only for the selected lease ID.</t>
  </si>
  <si>
    <t>P-LE-004</t>
  </si>
  <si>
    <t>Verify derived field calculations after save</t>
  </si>
  <si>
    <t>New editable row exists</t>
  </si>
  <si>
    <t>Contract date=2026-01-15; Asset value=80000; Down payment %=25; Residual value %=10; Annual interest rate=8; Number of years=3; Payments per year=4</t>
  </si>
  <si>
    <t>1. Enter data. 2. Click Save.</t>
  </si>
  <si>
    <t>Displayed derived fields are: Down payment amount=20000.00; Residual value amount=8000.00; Financed amount=60000.00; Number of installments=12.</t>
  </si>
  <si>
    <t>P-LE-005</t>
  </si>
  <si>
    <t>Verify periodic rate and annuity calculation</t>
  </si>
  <si>
    <t>Saved row exists</t>
  </si>
  <si>
    <t>Contract date=2026-01-15; Asset value=100000; Down payment %=10; Residual value %=20; Annual interest rate=12; Number of years=2; Payments per year=12</t>
  </si>
  <si>
    <t>1. Save row. 2. Click “(Re)Build Plan”. 3. Review installment rows excluding final adjusted installment if different.</t>
  </si>
  <si>
    <t>Periodic rate is computed as r=(12/100)/12=0.01. Financed amount PV=90000.00. Residual value FV=20000.00. N=24. Regular annuity PMT is computed by CR-LE-06 and rounded to 2 decimals: 3372.48 for regular installments, with final installment adjusted if needed.</t>
  </si>
  <si>
    <t>P-LE-006</t>
  </si>
  <si>
    <t>Verify interest and principal for first installment</t>
  </si>
  <si>
    <t>Schedule generated for input of P-LE-005</t>
  </si>
  <si>
    <t>Same as P-LE-005</t>
  </si>
  <si>
    <t>1. Open generated schedule. 2. Review installment 1 values.</t>
  </si>
  <si>
    <t>Interest(1)=round(90000.00×0.01,2)=900.00. Principal(1)=round(3372.48−900.00,2)=2472.48. Outstanding balance after installment 1 decreases to 87527.52.</t>
  </si>
  <si>
    <t>P-LE-007</t>
  </si>
  <si>
    <t>Verify final installment adjustment and residual convergence</t>
  </si>
  <si>
    <t>1. Open generated schedule. 2. Review last installment and residual value row.</t>
  </si>
  <si>
    <t>Final installment principal is adjusted per CR-LE-10 so that balance after installment 24 equals exactly 20000.00. Final payment amount is principal(24)+interest(24), rounded to 2 decimals. Residual value row amount=20000.00. Final balance equals residual value exactly.</t>
  </si>
  <si>
    <t>P-LE-008</t>
  </si>
  <si>
    <t>Verify schedule structure</t>
  </si>
  <si>
    <t>Schedule generated</t>
  </si>
  <si>
    <t>1. Generate plan. 2. Review all rows in schedule grid.</t>
  </si>
  <si>
    <t>Schedule contains a down payment row, installments 1 through 24, and one residual value row.</t>
  </si>
  <si>
    <t>P-LE-009</t>
  </si>
  <si>
    <t>Verify schedule attributes display</t>
  </si>
  <si>
    <t>1. Generate plan. 2. Review visible columns/attributes in schedule grid.</t>
  </si>
  <si>
    <t>Each schedule row includes at least payment number, payment date, year, annuity, principal, interest, and residual value row indicator/value.</t>
  </si>
  <si>
    <t>P-LE-010</t>
  </si>
  <si>
    <t>Verify down payment row date rule</t>
  </si>
  <si>
    <t>Contract date=2026-01-15; Asset value=50000; Down payment %=20; Residual value %=10; Annual interest rate=6; Number of years=1; Payments per year=12</t>
  </si>
  <si>
    <t>1. Save row. 2. Build plan. 3. Review down payment row date.</t>
  </si>
  <si>
    <t>Down payment row is dated exactly with the contract date: 2026-01-15.</t>
  </si>
  <si>
    <t>P-LE-011</t>
  </si>
  <si>
    <t>Verify installment payment end-of-month dates</t>
  </si>
  <si>
    <t>1. Save row. 2. Build plan. 3. Review payment dates for installments 1..12.</t>
  </si>
  <si>
    <t>All installment payment dates are end-of-month dates.</t>
  </si>
  <si>
    <t>P-LE-012</t>
  </si>
  <si>
    <t>Verify residual value row maturity date rule</t>
  </si>
  <si>
    <t>Same as P-LE-011</t>
  </si>
  <si>
    <t>1. Review last installment date. 2. Review residual value row date.</t>
  </si>
  <si>
    <t>Residual value row is dated at maturity on the same date as the last installment.</t>
  </si>
  <si>
    <t>P-LE-013</t>
  </si>
  <si>
    <t>Verify monotonic decrease of balance</t>
  </si>
  <si>
    <t>1. Review outstanding balance after each installment.</t>
  </si>
  <si>
    <t>Outstanding balance decreases monotonically from financed amount toward residual value and never increases.</t>
  </si>
  <si>
    <t>P-LE-014</t>
  </si>
  <si>
    <t>Verify non-negative balance throughout schedule</t>
  </si>
  <si>
    <t>1. Review balance progression through all schedule rows.</t>
  </si>
  <si>
    <t>Outstanding balance never becomes negative at any point.</t>
  </si>
  <si>
    <t>P-LE-015</t>
  </si>
  <si>
    <t>Verify fixed interest rate with decreasing interest amount</t>
  </si>
  <si>
    <t>1. Review periodic interest amounts across installment rows.</t>
  </si>
  <si>
    <t>Applied interest rate per period remains constant at 1.00%; interest amount is computed each period from decreasing outstanding balance and therefore decreases over time.</t>
  </si>
  <si>
    <t>P-LE-016</t>
  </si>
  <si>
    <t>Verify master–detail display for selected lease ID</t>
  </si>
  <si>
    <t>At least two saved lease rows exist with generated schedules</t>
  </si>
  <si>
    <t>Lease A: input from P-LE-005; Lease B: Contract date=2026-02-10; Asset value=60000; Down payment %=15; Residual value %=5; Annual interest rate=10; Number of years=1; Payments per year=4</t>
  </si>
  <si>
    <t>1. Save Lease A and build plan. 2. Save Lease B and build plan. 3. Select Lease A. 4. Observe right region. 5. Select Lease B.</t>
  </si>
  <si>
    <t>Right region shows only schedule rows belonging to the currently selected lease ID. Switching selection changes displayed schedule accordingly.</t>
  </si>
  <si>
    <t>P-LE-017</t>
  </si>
  <si>
    <t>Verify centralized leasing overview supports multiple simulations</t>
  </si>
  <si>
    <t>Two or more valid leasing rows with different values</t>
  </si>
  <si>
    <t>1. Add multiple rows in the left region. 2. Save them.</t>
  </si>
  <si>
    <t>Centralized leasing overview contains multiple leasing simulations in the leasing header grid.</t>
  </si>
  <si>
    <t>P-LE-018</t>
  </si>
  <si>
    <t>Verify regeneration after modification and save</t>
  </si>
  <si>
    <t>Existing saved lease with generated schedule</t>
  </si>
  <si>
    <t>Initial: same as P-LE-005. Modified value: Residual value %=10</t>
  </si>
  <si>
    <t>1. Generate schedule for initial data. 2. Edit residual value % from 20 to 10. 3. Click Save. 4. Click “(Re)Build Plan” again.</t>
  </si>
  <si>
    <t>Schedule is regenerated using modified saved data. Residual value amount changes from 20000.00 to 10000.00, financed amount remains 90000.00, and installment values are recalculated accordingly.</t>
  </si>
  <si>
    <t>P-LE-019</t>
  </si>
  <si>
    <t>Verify schedule values are generated from saved data only</t>
  </si>
  <si>
    <t>Existing saved lease row</t>
  </si>
  <si>
    <t>Saved data: Asset value=100000. Unsaved edited value in grid: Asset value=120000</t>
  </si>
  <si>
    <t>1. Save row with Asset value=100000. 2. Change Asset value in grid to 120000 without saving. 3. Click “(Re)Build Plan”.</t>
  </si>
  <si>
    <t>Generated schedule reflects saved data only, not unsaved edits. Calculations remain based on Asset value=100000.</t>
  </si>
  <si>
    <t>P-LE-020</t>
  </si>
  <si>
    <t>Verify header grid update operation</t>
  </si>
  <si>
    <t>Existing row from P-LE-004; modify Down payment %=30</t>
  </si>
  <si>
    <t>1. Select saved row. 2. Edit Down payment % to 30. 3. Save.</t>
  </si>
  <si>
    <t>Leasing header grid supports update. Saved row now displays recalculated derived fields: Down payment amount=24000.00; Financed amount=56000.00.</t>
  </si>
  <si>
    <t>P-LE-021</t>
  </si>
  <si>
    <t>Verify header grid delete operation</t>
  </si>
  <si>
    <t>Any valid saved lease</t>
  </si>
  <si>
    <t>1. Select saved row. 2. Delete row.</t>
  </si>
  <si>
    <t>Leasing header grid supports delete. Deleted leasing simulation is removed from overview.</t>
  </si>
  <si>
    <t>P-LE-022</t>
  </si>
  <si>
    <t>Verify optional descriptive fields may be blank</t>
  </si>
  <si>
    <t>New row exists</t>
  </si>
  <si>
    <t>Contract date=2026-03-01; Asset value=70000; Down payment %=10; Residual value %=15; Annual interest rate=9; Number of years=2; Payments per year=12; Company blank; Leasing provider blank</t>
  </si>
  <si>
    <t>1. Enter all required fields only. 2. Save. 3. Build plan.</t>
  </si>
  <si>
    <t>Save and plan generation succeed. Blank Company and Leasing provider do not block processing.</t>
  </si>
  <si>
    <t>P-LE-023</t>
  </si>
  <si>
    <t>Verify rounding to 2 decimals for all financial values</t>
  </si>
  <si>
    <t>Contract date=2026-01-15; Asset value=12345.67; Down payment %=12.34; Residual value %=7.89; Annual interest rate=5.5; Number of years=2; Payments per year=12</t>
  </si>
  <si>
    <t>1. Save row. 2. Build plan. 3. Review derived fields and schedule values.</t>
  </si>
  <si>
    <t>All financial values displayed in derived fields and schedule rows are rounded to 2 decimals.</t>
  </si>
  <si>
    <t>P-LE-024</t>
  </si>
  <si>
    <t>Verify displayed number of installments equals years × payments per year</t>
  </si>
  <si>
    <t>Contract date=2026-04-01; Asset value=40000; Down payment %=5; Residual value %=10; Annual interest rate=7; Number of years=5; Payments per year=2</t>
  </si>
  <si>
    <t>1. Enter data. 2. Save.</t>
  </si>
  <si>
    <t>Displayed number of installments is 10.</t>
  </si>
  <si>
    <t>P-LE-025</t>
  </si>
  <si>
    <t>Verify zero interest rate scenario</t>
  </si>
  <si>
    <t>Contract date=2026-01-15; Asset value=100000; Down payment %=10; Residual value %=20; Annual interest rate=0; Number of years=2; Payments per year=12</t>
  </si>
  <si>
    <t>1. Save row. 2. Build plan. 3. Review installment values.</t>
  </si>
  <si>
    <t>Periodic rate r=0. PMT is calculated using CR-LE-07: (90000.00−20000.00)/24=2916.67 for regular installments, with final installment adjusted if needed for exact convergence. Interest for every installment is 0.00. Principal equals annuity for regular installments. Final balance equals residual value 20000.00 exactly.</t>
  </si>
  <si>
    <t>Negative test cases</t>
  </si>
  <si>
    <t>N-LE-001</t>
  </si>
  <si>
    <t>Reject missing contract date</t>
  </si>
  <si>
    <t>Contract date blank; Asset value=100000; Down payment %=10; Residual value %=20; Annual interest rate=12; Number of years=2; Payments per year=12</t>
  </si>
  <si>
    <t>1. Enter data with blank contract date. 2. Click Save.</t>
  </si>
  <si>
    <t>Save is rejected because contract date must be provided.</t>
  </si>
  <si>
    <t>N-LE-002</t>
  </si>
  <si>
    <t>Reject asset value equal to zero</t>
  </si>
  <si>
    <t>Contract date=2026-01-15; Asset value=0; Down payment %=10; Residual value %=20; Annual interest rate=12; Number of years=2; Payments per year=12</t>
  </si>
  <si>
    <t>Save is rejected because Asset value must be &gt; 0.</t>
  </si>
  <si>
    <t>N-LE-003</t>
  </si>
  <si>
    <t>Reject negative asset value</t>
  </si>
  <si>
    <t>Contract date=2026-01-15; Asset value=-1; Down payment %=10; Residual value %=20; Annual interest rate=12; Number of years=2; Payments per year=12</t>
  </si>
  <si>
    <t>N-LE-004</t>
  </si>
  <si>
    <t>Reject missing down payment percentage</t>
  </si>
  <si>
    <t>Contract date=2026-01-15; Asset value=100000; Down payment % blank; Residual value %=20; Annual interest rate=12; Number of years=2; Payments per year=12</t>
  </si>
  <si>
    <t>Save is rejected because Down payment percentage must be provided.</t>
  </si>
  <si>
    <t>N-LE-005</t>
  </si>
  <si>
    <t>Reject down payment percentage below minimum</t>
  </si>
  <si>
    <t>Contract date=2026-01-15; Asset value=100000; Down payment %=-0.01; Residual value %=20; Annual interest rate=12; Number of years=2; Payments per year=12</t>
  </si>
  <si>
    <t>Save is rejected because Down payment % must be within [0,100].</t>
  </si>
  <si>
    <t>N-LE-006</t>
  </si>
  <si>
    <t>Reject down payment percentage above maximum</t>
  </si>
  <si>
    <t>Contract date=2026-01-15; Asset value=100000; Down payment %=100.01; Residual value %=20; Annual interest rate=12; Number of years=2; Payments per year=12</t>
  </si>
  <si>
    <t>N-LE-007</t>
  </si>
  <si>
    <t>Reject missing residual value percentage</t>
  </si>
  <si>
    <t>Contract date=2026-01-15; Asset value=100000; Down payment %=10; Residual value % blank; Annual interest rate=12; Number of years=2; Payments per year=12</t>
  </si>
  <si>
    <t>Save is rejected because Residual value percentage must be provided.</t>
  </si>
  <si>
    <t>N-LE-008</t>
  </si>
  <si>
    <t>Reject residual value percentage below minimum</t>
  </si>
  <si>
    <t>Contract date=2026-01-15; Asset value=100000; Down payment %=10; Residual value %=-1; Annual interest rate=12; Number of years=2; Payments per year=12</t>
  </si>
  <si>
    <t>Save is rejected because Residual value % must be within [0,100].</t>
  </si>
  <si>
    <t>N-LE-009</t>
  </si>
  <si>
    <t>Reject residual value percentage above maximum</t>
  </si>
  <si>
    <t>Contract date=2026-01-15; Asset value=100000; Down payment %=10; Residual value %=100.01; Annual interest rate=12; Number of years=2; Payments per year=12</t>
  </si>
  <si>
    <t>N-LE-010</t>
  </si>
  <si>
    <t>Reject missing annual interest rate</t>
  </si>
  <si>
    <t>Contract date=2026-01-15; Asset value=100000; Down payment %=10; Residual value %=20; Annual interest rate blank; Number of years=2; Payments per year=12</t>
  </si>
  <si>
    <t>Save is rejected because annual interest rate must be provided.</t>
  </si>
  <si>
    <t>N-LE-011</t>
  </si>
  <si>
    <t>Reject negative annual interest rate</t>
  </si>
  <si>
    <t>Contract date=2026-01-15; Asset value=100000; Down payment %=10; Residual value %=20; Annual interest rate=-0.01; Number of years=2; Payments per year=12</t>
  </si>
  <si>
    <t>Save is rejected because interest rate must be ≥ 0.</t>
  </si>
  <si>
    <t>N-LE-012</t>
  </si>
  <si>
    <t>Reject number of years equal to zero</t>
  </si>
  <si>
    <t>Contract date=2026-01-15; Asset value=100000; Down payment %=10; Residual value %=20; Annual interest rate=12; Number of years=0; Payments per year=12</t>
  </si>
  <si>
    <t>Save is rejected because Number of years must be &gt; 0.</t>
  </si>
  <si>
    <t>N-LE-013</t>
  </si>
  <si>
    <t>Reject negative number of years</t>
  </si>
  <si>
    <t>Contract date=2026-01-15; Asset value=100000; Down payment %=10; Residual value %=20; Annual interest rate=12; Number of years=-1; Payments per year=12</t>
  </si>
  <si>
    <t>N-LE-014</t>
  </si>
  <si>
    <t>Reject payments per year equal to zero</t>
  </si>
  <si>
    <t>Contract date=2026-01-15; Asset value=100000; Down payment %=10; Residual value %=20; Annual interest rate=12; Number of years=2; Payments per year=0</t>
  </si>
  <si>
    <t>Save is rejected because Payments per year must be &gt; 0.</t>
  </si>
  <si>
    <t>N-LE-015</t>
  </si>
  <si>
    <t>Reject negative payments per year</t>
  </si>
  <si>
    <t>Contract date=2026-01-15; Asset value=100000; Down payment %=10; Residual value %=20; Annual interest rate=12; Number of years=2; Payments per year=-4</t>
  </si>
  <si>
    <t>N-LE-016</t>
  </si>
  <si>
    <t>Prevent schedule generation before save</t>
  </si>
  <si>
    <t>New unsaved row exists</t>
  </si>
  <si>
    <t>1. Add Row. 2. Enter valid data. 3. Without saving, click “(Re)Build Plan”.</t>
  </si>
  <si>
    <t>Schedule is not generated because the system requires the leasing data to be saved before schedule generation.</t>
  </si>
  <si>
    <t>N-LE-017</t>
  </si>
  <si>
    <t>Prevent generation when required data is incomplete</t>
  </si>
  <si>
    <t>1. Enter incomplete data. 2. Click Save. 3. If save is rejected, attempt “(Re)Build Plan”.</t>
  </si>
  <si>
    <t>Save is rejected and schedule is not generated from invalid/incomplete data.</t>
  </si>
  <si>
    <t>N-LE-018</t>
  </si>
  <si>
    <t>Do not regenerate schedule from unsaved modifications</t>
  </si>
  <si>
    <t>Initially same as P-LE-005; unsaved edit: Number of years from 2 to 3</t>
  </si>
  <si>
    <t>1. Generate plan for saved row. 2. Change Number of years to 3 without saving. 3. Click “(Re)Build Plan”.</t>
  </si>
  <si>
    <t>Schedule remains based on previously saved data only; unsaved changes are not used for generation.</t>
  </si>
  <si>
    <t>N-LE-019</t>
  </si>
  <si>
    <t>Do not display schedule rows for non-selected lease ID</t>
  </si>
  <si>
    <t>At least two leases with schedules exist</t>
  </si>
  <si>
    <t>Lease A and Lease B valid saved rows</t>
  </si>
  <si>
    <t>1. Select Lease A. 2. Review right region.</t>
  </si>
  <si>
    <t>Right region does not show rows belonging to Lease B or any other lease ID.</t>
  </si>
  <si>
    <t>N-LE-020</t>
  </si>
  <si>
    <t>Reject build process from invalid saved attempt</t>
  </si>
  <si>
    <t>1. Enter invalid data. 2. Click Save. 3. Click “(Re)Build Plan”.</t>
  </si>
  <si>
    <t>Because save is not successful, no schedule is generated.</t>
  </si>
  <si>
    <t>Boundary Value test cases</t>
  </si>
  <si>
    <t>B-LE-001</t>
  </si>
  <si>
    <t>Accept minimum down payment percentage</t>
  </si>
  <si>
    <t>Contract date=2026-01-15; Asset value=100000; Down payment %=0; Residual value %=20; Annual interest rate=12; Number of years=2; Payments per year=12</t>
  </si>
  <si>
    <t>1. Enter data. 2. Save. 3. Build plan.</t>
  </si>
  <si>
    <t>Save and generation succeed. Down payment amount=0.00. Financed amount=100000.00.</t>
  </si>
  <si>
    <t>B-LE-002</t>
  </si>
  <si>
    <t>Accept maximum down payment percentage</t>
  </si>
  <si>
    <t>Contract date=2026-01-15; Asset value=100000; Down payment %=100; Residual value %=20; Annual interest rate=12; Number of years=2; Payments per year=12</t>
  </si>
  <si>
    <t>Save and generation succeed. Down payment amount=100000.00. Financed amount=0.00. Schedule is generated from saved data with all financial values rounded to 2 decimals and final balance equal to residual value row amount.</t>
  </si>
  <si>
    <t>B-LE-003</t>
  </si>
  <si>
    <t>Accept minimum residual value percentage</t>
  </si>
  <si>
    <t>Contract date=2026-01-15; Asset value=100000; Down payment %=10; Residual value %=0; Annual interest rate=12; Number of years=2; Payments per year=12</t>
  </si>
  <si>
    <t>Save and generation succeed. Residual value amount=0.00. Final balance after last installment converges exactly to 0.00.</t>
  </si>
  <si>
    <t>B-LE-004</t>
  </si>
  <si>
    <t>Accept maximum residual value percentage</t>
  </si>
  <si>
    <t>Contract date=2026-01-15; Asset value=100000; Down payment %=10; Residual value %=100; Annual interest rate=12; Number of years=2; Payments per year=12</t>
  </si>
  <si>
    <t>Save and generation succeed. Residual value amount=100000.00. Calculations use FV=100000.00 and final balance equals 100000.00 exactly after final installment.</t>
  </si>
  <si>
    <t>B-LE-005</t>
  </si>
  <si>
    <t>Accept minimum annual interest rate</t>
  </si>
  <si>
    <t>Save and generation succeed. Zero-rate formula CR-LE-07 is used. Interest is 0.00 for every installment.</t>
  </si>
  <si>
    <t>B-LE-006</t>
  </si>
  <si>
    <t>Accept minimum positive number of years</t>
  </si>
  <si>
    <t>Contract date=2026-01-15; Asset value=50000; Down payment %=10; Residual value %=5; Annual interest rate=6; Number of years=1; Payments per year=12</t>
  </si>
  <si>
    <t>Save succeeds. Number of installments displayed=12.</t>
  </si>
  <si>
    <t>B-LE-007</t>
  </si>
  <si>
    <t>Accept minimum positive payments per year</t>
  </si>
  <si>
    <t>Contract date=2026-01-15; Asset value=50000; Down payment %=10; Residual value %=5; Annual interest rate=6; Number of years=3; Payments per year=1</t>
  </si>
  <si>
    <t>Save and generation succeed. Number of installments displayed=3. Payment dates are end-of-month dates.</t>
  </si>
  <si>
    <t>B-LE-008</t>
  </si>
  <si>
    <t>Accept smallest valid asset value above zero</t>
  </si>
  <si>
    <t>Contract date=2026-01-15; Asset value=0.01; Down payment %=0; Residual value %=0; Annual interest rate=0; Number of years=1; Payments per year=1</t>
  </si>
  <si>
    <t>Save and generation succeed. Down payment amount=0.00; Residual value amount=0.00; Financed amount=0.01; Number of installments=1; all values rounded to 2 decimals.</t>
  </si>
  <si>
    <t>B-LE-009</t>
  </si>
  <si>
    <t>Verify displayed number of installments at exact multiplication boundary</t>
  </si>
  <si>
    <t>Contract date=2026-01-15; Asset value=100000; Down payment %=10; Residual value %=10; Annual interest rate=10; Number of years=2; Payments per year=1</t>
  </si>
  <si>
    <t>Displayed number of installments equals exactly 2×1=2.</t>
  </si>
  <si>
    <t>B-LE-010</t>
  </si>
  <si>
    <t>Verify final adjustment when regular annuity rounding would prevent exact convergence</t>
  </si>
  <si>
    <t>1. Enter data. 2. Save. 3. Build plan. 4. Review final installment and closing balance.</t>
  </si>
  <si>
    <t>Due to 2-decimal rounding, the last installment is adjusted per CR-LE-10. After final installment, outstanding balance equals residual value amount exactly; balance never becomes negative.</t>
  </si>
  <si>
    <t>B-LE-011</t>
  </si>
  <si>
    <t>Verify residual row date equals last installment date at maturity boundary</t>
  </si>
  <si>
    <t>Contract date=2026-01-31; Asset value=60000; Down payment %=10; Residual value %=5; Annual interest rate=6; Number of years=1; Payments per year=12</t>
  </si>
  <si>
    <t>1. Save row. 2. Build plan. 3. Compare last installment date and residual value row date.</t>
  </si>
  <si>
    <t>Residual value row date equals the last installment date exactly, and both are maturity dates.</t>
  </si>
  <si>
    <t>B-LE-012</t>
  </si>
  <si>
    <t>Verify down payment row date on contract date boundary</t>
  </si>
  <si>
    <t>Down payment row date is exactly 2026-01-31, matching the contract date.</t>
  </si>
  <si>
    <t>Generate standard leasing schedule</t>
  </si>
  <si>
    <t>System accessible; input grid available.</t>
  </si>
  <si>
    <t>Contract date: 2025-01-31, Asset value: 100000, Down payment %: 10, Residual value %: 5, Interest rate: 6%, Years: 5, Payments/year: 12, Company: ABC, Provider: LeaseCo</t>
  </si>
  <si>
    <t>1. Add row in input grid.
2. Enter all input data.
3. Save the row.
4. Press "(Re)Build Plan".</t>
  </si>
  <si>
    <t>Schedule generated with: Down payment row (10000), 60 installments, Residual value row (5000). All dates are end-of-month. Final balance equals 5000.</t>
  </si>
  <si>
    <t>Down payment amount calculation (CR-LE-01)</t>
  </si>
  <si>
    <t>Row added with valid data.</t>
  </si>
  <si>
    <t>Asset value: 50000, Down payment %: 20</t>
  </si>
  <si>
    <t>1. Enter asset value and down payment %.
2. Save.
3. Observe derived field.</t>
  </si>
  <si>
    <t>Down payment amount displayed = 50000 × 0.20 = 10000.00</t>
  </si>
  <si>
    <t>Residual value amount calculation (CR-LE-02)</t>
  </si>
  <si>
    <t>Asset value: 50000, Residual value %: 10</t>
  </si>
  <si>
    <t>1. Enter asset value and residual value %.
2. Save.
3. Observe derived field.</t>
  </si>
  <si>
    <t>Residual value amount displayed = 50000 × 0.10 = 5000.00</t>
  </si>
  <si>
    <t>Financed amount calculation (CR-LE-03)</t>
  </si>
  <si>
    <t>Asset value: 80000, Down payment %: 15</t>
  </si>
  <si>
    <t>1. Enter data.
2. Save.
3. Observe financed amount.</t>
  </si>
  <si>
    <t>Financed amount = 80000 − (80000 × 0.15) = 80000 − 12000 = 68000.00</t>
  </si>
  <si>
    <t>Number of installments calculation (CR-LE-04)</t>
  </si>
  <si>
    <t>Years: 3, Payments/year: 4</t>
  </si>
  <si>
    <t>1. Enter years and payments per year.
2. Save.
3. Observe number of installments.</t>
  </si>
  <si>
    <t>Number of installments = 3 × 4 = 12</t>
  </si>
  <si>
    <t>Annuity calculation with standard parameters (CR-LE-06)</t>
  </si>
  <si>
    <t>Row saved with valid data.</t>
  </si>
  <si>
    <t>Asset value: 100000, Down payment %: 10, Residual value %: 5, Interest rate: 6%, Years: 5, Payments/year: 12</t>
  </si>
  <si>
    <t>1. Save row.
2. Press "(Re)Build Plan".
3. Verify annuity value in schedule.</t>
  </si>
  <si>
    <t>PV=90000, FV=5000, r=0.06/12=0.005, N=60. PMT = [0.005×(90000−5000/(1.005)^60)] / [1−(1.005)^(−60)]. Annuity is constant for installments 1 to N−1. All values rounded to 2 decimals.</t>
  </si>
  <si>
    <t>Zero interest rate annuity (CR-LE-07)</t>
  </si>
  <si>
    <t>Asset value: 60000, Down payment %: 0, Residual value %: 0, Interest rate: 0%, Years: 5, Payments/year: 12</t>
  </si>
  <si>
    <t>1. Save row.
2. Press "(Re)Build Plan".
3. Verify annuity in schedule.</t>
  </si>
  <si>
    <t>PMT = (60000 − 0) / 60 = 1000.00. All interest amounts = 0. Principal = 1000.00 per installment.</t>
  </si>
  <si>
    <t>Interest calculation per period (CR-LE-08)</t>
  </si>
  <si>
    <t>Schedule generated for standard lease.</t>
  </si>
  <si>
    <t>1. Generate schedule.
2. Verify interest for installment 1.
3. Verify interest for installment 2.</t>
  </si>
  <si>
    <t>Interest(1) = round(90000 × 0.005, 2) = 450.00. Interest(2) = round(B(1) × 0.005, 2) where B(1) = 90000 − Principal(1).</t>
  </si>
  <si>
    <t>Principal calculation per period (CR-LE-09)</t>
  </si>
  <si>
    <t>Same as TC-POS-008.</t>
  </si>
  <si>
    <t>1. Generate schedule.
2. Verify principal for installment 1.</t>
  </si>
  <si>
    <t>Principal(1) = round(PMT − Interest(1), 2). Principal equals annuity minus interest for each period.</t>
  </si>
  <si>
    <t>Final installment adjustment (CR-LE-10, FR-LE-12)</t>
  </si>
  <si>
    <t>Same as TC-POS-006.</t>
  </si>
  <si>
    <t>1. Generate schedule.
2. Verify last installment values.</t>
  </si>
  <si>
    <t>Principal(N) = round(B(N−1) − FV, 2). PMT(N) = round(Principal(N) + Interest(N), 2). Final balance = Residual value amount exactly.</t>
  </si>
  <si>
    <t>Schedule structure verification (FR-LE-13)</t>
  </si>
  <si>
    <t>Standard valid parameters.</t>
  </si>
  <si>
    <t>1. Generate schedule.
2. Inspect rows.</t>
  </si>
  <si>
    <t>Schedule contains: 1 down payment row, N installment rows (1…N), 1 residual value row. Total rows = N + 2.</t>
  </si>
  <si>
    <t>Schedule attributes display (FR-LE-15)</t>
  </si>
  <si>
    <t>1. Generate schedule.
2. Check columns displayed.</t>
  </si>
  <si>
    <t>Each row shows: payment number, payment date, year, annuity, principal, interest, and residual value row indicator/value.</t>
  </si>
  <si>
    <t>Master–detail display (FR-LE-14, PR-LE-05)</t>
  </si>
  <si>
    <t>Two leasing simulations exist (Lease A, Lease B).</t>
  </si>
  <si>
    <t>Two saved leasing rows with different IDs.</t>
  </si>
  <si>
    <t>1. Select Lease A in input grid.
2. Observe schedule grid.
3. Select Lease B.
4. Observe schedule grid.</t>
  </si>
  <si>
    <t>Schedule grid shows only rows belonging to the currently selected lease ID.</t>
  </si>
  <si>
    <t>Save before generation (FR-LE-03, PR-LE-02)</t>
  </si>
  <si>
    <t>New row added with data entered.</t>
  </si>
  <si>
    <t>1. Add row.
2. Enter data.
3. Save.
4. Press "(Re)Build Plan".</t>
  </si>
  <si>
    <t>System saves input row, then generates schedule successfully.</t>
  </si>
  <si>
    <t>Regeneration after modification (FR-LE-04, PR-LE-04)</t>
  </si>
  <si>
    <t>Schedule already generated for a lease.</t>
  </si>
  <si>
    <t>Modify interest rate from 6% to 8%.</t>
  </si>
  <si>
    <t>1. Modify interest rate to 8%.
2. Save.
3. Press "(Re)Build Plan".</t>
  </si>
  <si>
    <t>Schedule is regenerated with new annuity, interest, and principal values reflecting 8% rate. Final balance still equals residual value.</t>
  </si>
  <si>
    <t>Down payment date rule (BR-LE-07)</t>
  </si>
  <si>
    <t>Contract date: 2025-03-15.</t>
  </si>
  <si>
    <t>1. Generate schedule.
2. Check down payment row date.</t>
  </si>
  <si>
    <t>Down payment row date = 2025-03-15 (contract date).</t>
  </si>
  <si>
    <t>Installment dates are end-of-month (BR-LE-06)</t>
  </si>
  <si>
    <t>Contract date: 2025-01-15, Years: 1, Payments/year: 12.</t>
  </si>
  <si>
    <t>1. Generate schedule.
2. Check installment dates.</t>
  </si>
  <si>
    <t>All installment payment dates are end-of-month (e.g., 2025-01-31, 2025-02-28, …, 2025-12-31).</t>
  </si>
  <si>
    <t>Residual value date rule (BR-LE-08)</t>
  </si>
  <si>
    <t>Standard parameters, last installment falls on 2029-12-31.</t>
  </si>
  <si>
    <t>1. Generate schedule.
2. Check residual value row date.</t>
  </si>
  <si>
    <t>Residual value row date equals the date of the last installment.</t>
  </si>
  <si>
    <t>Balance monotonic decrease (BR-LE-02)</t>
  </si>
  <si>
    <t>Standard valid parameters with interest &gt; 0.</t>
  </si>
  <si>
    <t>1. Generate schedule.
2. Verify outstanding balance at each period.</t>
  </si>
  <si>
    <t>Outstanding balance strictly decreases from financed amount toward residual value across all periods.</t>
  </si>
  <si>
    <t>Rounding to 2 decimals (BR-LE-04)</t>
  </si>
  <si>
    <t>Parameters that produce non-round results (e.g., Asset: 99999, DP%: 7, RV%: 3, Rate: 5.75%, Years: 3, Payments/year: 12).</t>
  </si>
  <si>
    <t>1. Generate schedule.
2. Inspect all financial values.</t>
  </si>
  <si>
    <t>All annuity, interest, principal, down payment amount, residual value amount, and financed amount values are rounded to exactly 2 decimal places.</t>
  </si>
  <si>
    <t>Derived fields auto-display (FR-LE-17)</t>
  </si>
  <si>
    <t>Row added with data entered and saved.</t>
  </si>
  <si>
    <t>Asset value: 120000, Down payment %: 15, Residual value %: 10, Years: 4, Payments/year: 6.</t>
  </si>
  <si>
    <t>1. Enter and save data.
2. Observe computed fields.</t>
  </si>
  <si>
    <t>Down payment amount = 18000.00, Residual value amount = 12000.00, Financed amount = 102000.00, Number of installments = 24. All displayed automatically.</t>
  </si>
  <si>
    <t>Add simulation row (FR-LE-02)</t>
  </si>
  <si>
    <t>Input grid accessible.</t>
  </si>
  <si>
    <t>N/A.</t>
  </si>
  <si>
    <t>1. Click "Add Row" in input grid.</t>
  </si>
  <si>
    <t>A new empty row is created in the input grid ready for data entry.</t>
  </si>
  <si>
    <t>Centralized leasing overview (FR-LE-16)</t>
  </si>
  <si>
    <t>Multiple leasing simulations saved.</t>
  </si>
  <si>
    <t>Three saved leasing simulations.</t>
  </si>
  <si>
    <t>1. Navigate to centralized view.</t>
  </si>
  <si>
    <t>All leasing simulations are visible in one centralized overview.</t>
  </si>
  <si>
    <t>Full user workflow (PR-LE-08)</t>
  </si>
  <si>
    <t>1. Add Row.
2. Enter required data.
3. Save.
4. Press "(Re)Build Plan".
5. Modify interest rate.
6. Save again.
7. Press "(Re)Build Plan" again.</t>
  </si>
  <si>
    <t>Initial schedule generated at step 4. Updated schedule generated at step 7 reflecting the modified interest rate. Final balance equals residual value in both cases.</t>
  </si>
  <si>
    <t>TC-POS-025</t>
  </si>
  <si>
    <t>Insert, update, delete on leasing header grid (PR-LE-09)</t>
  </si>
  <si>
    <t>1. Insert a new leasing row.
2. Update a field (e.g., asset value).
3. Save.
4. Delete the row.</t>
  </si>
  <si>
    <t>Row is inserted, updated, saved, and deleted successfully. Grid reflects each operation.</t>
  </si>
  <si>
    <t>TC-POS-026</t>
  </si>
  <si>
    <t>Left region as editable input grid (PR-LE-06)</t>
  </si>
  <si>
    <t>1. Observe left region of the interface.
2. Attempt to edit fields.</t>
  </si>
  <si>
    <t>Left region displays the editable leasing input grid. All input fields are editable.</t>
  </si>
  <si>
    <t>TC-POS-027</t>
  </si>
  <si>
    <t>Right region as schedule grid (PR-LE-07)</t>
  </si>
  <si>
    <t>Schedule generated for a lease.</t>
  </si>
  <si>
    <t>1. Generate schedule.
2. Observe right region.</t>
  </si>
  <si>
    <t>Right region displays the generated schedule grid for the selected lease.</t>
  </si>
  <si>
    <t>TC-POS-028</t>
  </si>
  <si>
    <t>Final balance convergence (BR-LE-05, BR-LE-09)</t>
  </si>
  <si>
    <t>Asset value: 75000, Down payment %: 5, Residual value %: 8, Interest rate: 4.5%, Years: 4, Payments/year: 12.</t>
  </si>
  <si>
    <t>1. Generate schedule.
2. Verify balance after last installment.</t>
  </si>
  <si>
    <t>Outstanding balance after the final installment equals residual value amount (75000 × 0.08 = 6000.00) exactly.</t>
  </si>
  <si>
    <t>TC-POS-029</t>
  </si>
  <si>
    <t>Zero down payment</t>
  </si>
  <si>
    <t>Row added.</t>
  </si>
  <si>
    <t>Asset value: 50000, Down payment %: 0, Residual value %: 10, Interest rate: 5%, Years: 3, Payments/year: 12.</t>
  </si>
  <si>
    <t>1. Enter data with 0% down payment.
2. Save.
3. Press "(Re)Build Plan".</t>
  </si>
  <si>
    <t>Down payment amount = 0. Financed amount = 50000. Schedule generated with 36 installments. Down payment row shows amount 0.</t>
  </si>
  <si>
    <t>TC-POS-030</t>
  </si>
  <si>
    <t>Zero residual value</t>
  </si>
  <si>
    <t>Asset value: 50000, Down payment %: 10, Residual value %: 0, Interest rate: 5%, Years: 3, Payments/year: 12.</t>
  </si>
  <si>
    <t>1. Enter data with 0% residual value.
2. Save.
3. Press "(Re)Build Plan".</t>
  </si>
  <si>
    <t>Residual value amount = 0. Final balance after last installment = 0. Schedule converges to zero.</t>
  </si>
  <si>
    <t>TC-POS-031</t>
  </si>
  <si>
    <t>Schedule generated from saved data (PR-LE-10)</t>
  </si>
  <si>
    <t>Row added, data entered and saved.</t>
  </si>
  <si>
    <t>1. Enter data.
2. Save.
3. Press "(Re)Build Plan".</t>
  </si>
  <si>
    <t>Schedule values are computed from the saved input data, not from unsaved edits.</t>
  </si>
  <si>
    <t>TC-POS-032</t>
  </si>
  <si>
    <t>Annual payments (Payments/year = 1)</t>
  </si>
  <si>
    <t>Asset value: 100000, Down payment %: 10, Residual value %: 5, Interest rate: 6%, Years: 5, Payments/year: 1.</t>
  </si>
  <si>
    <t>N = 5 installments. r = 0.06. Schedule has 5 installment rows. Final balance = 5000.</t>
  </si>
  <si>
    <t>TC-POS-033</t>
  </si>
  <si>
    <t>Non-negative balance throughout schedule (BR-LE-03)</t>
  </si>
  <si>
    <t>1. Generate schedule.
2. Inspect outstanding balance at every period.</t>
  </si>
  <si>
    <t>Outstanding balance is ≥ 0 at every period, including after the final installment.</t>
  </si>
  <si>
    <t>Missing contract date (IC-LE-01)</t>
  </si>
  <si>
    <t>Contract date: (empty), Asset value: 50000, Down payment %: 10, Residual value %: 5, Interest rate: 5%, Years: 3, Payments/year: 12.</t>
  </si>
  <si>
    <t>1. Leave contract date empty.
2. Enter remaining data.
3. Attempt to save.</t>
  </si>
  <si>
    <t>System rejects input. Validation error: Contract date must be provided.</t>
  </si>
  <si>
    <t>Asset value = 0 (IC-LE-02)</t>
  </si>
  <si>
    <t>Asset value: 0, other fields valid.</t>
  </si>
  <si>
    <t>1. Enter asset value as 0.
2. Attempt to save.</t>
  </si>
  <si>
    <t>System rejects input. Validation error: Asset value must be &gt; 0.</t>
  </si>
  <si>
    <t>Negative asset value (IC-LE-02)</t>
  </si>
  <si>
    <t>Asset value: -10000, other fields valid.</t>
  </si>
  <si>
    <t>1. Enter negative asset value.
2. Attempt to save.</t>
  </si>
  <si>
    <t>Missing down payment percentage (IC-LE-03)</t>
  </si>
  <si>
    <t>Down payment %: (empty), other fields valid.</t>
  </si>
  <si>
    <t>1. Leave down payment % empty.
2. Attempt to save.</t>
  </si>
  <si>
    <t>System rejects input. Validation error: Down payment percentage must be provided.</t>
  </si>
  <si>
    <t>Down payment % &gt; 100 (IC-LE-04)</t>
  </si>
  <si>
    <t>Down payment %: 110, other fields valid.</t>
  </si>
  <si>
    <t>1. Enter down payment % as 110.
2. Attempt to save.</t>
  </si>
  <si>
    <t>System rejects input. Validation error: Down payment % must be in [0, 100].</t>
  </si>
  <si>
    <t>Down payment % &lt; 0 (IC-LE-04)</t>
  </si>
  <si>
    <t>Down payment %: -5, other fields valid.</t>
  </si>
  <si>
    <t>1. Enter down payment % as -5.
2. Attempt to save.</t>
  </si>
  <si>
    <t>Missing residual value percentage (IC-LE-05)</t>
  </si>
  <si>
    <t>Residual value %: (empty), other fields valid.</t>
  </si>
  <si>
    <t>1. Leave residual value % empty.
2. Attempt to save.</t>
  </si>
  <si>
    <t>System rejects input. Validation error: Residual value percentage must be provided.</t>
  </si>
  <si>
    <t>Residual value % &gt; 100 (IC-LE-06)</t>
  </si>
  <si>
    <t>Residual value %: 150, other fields valid.</t>
  </si>
  <si>
    <t>1. Enter residual value % as 150.
2. Attempt to save.</t>
  </si>
  <si>
    <t>System rejects input. Validation error: Residual value % must be in [0, 100].</t>
  </si>
  <si>
    <t>Residual value % &lt; 0 (IC-LE-06)</t>
  </si>
  <si>
    <t>Residual value %: -10, other fields valid.</t>
  </si>
  <si>
    <t>1. Enter residual value % as -10.
2. Attempt to save.</t>
  </si>
  <si>
    <t>Missing interest rate (IC-LE-07)</t>
  </si>
  <si>
    <t>Interest rate: (empty), other fields valid.</t>
  </si>
  <si>
    <t>1. Leave interest rate empty.
2. Attempt to save.</t>
  </si>
  <si>
    <t>System rejects input. Validation error: Annual interest rate must be provided.</t>
  </si>
  <si>
    <t>Negative interest rate (IC-LE-08)</t>
  </si>
  <si>
    <t>Interest rate: -3, other fields valid.</t>
  </si>
  <si>
    <t>1. Enter negative interest rate.
2. Attempt to save.</t>
  </si>
  <si>
    <t>System rejects input. Validation error: Interest rate must be ≥ 0.</t>
  </si>
  <si>
    <t>Number of years = 0 (IC-LE-09)</t>
  </si>
  <si>
    <t>Years: 0, other fields valid.</t>
  </si>
  <si>
    <t>1. Enter years as 0.
2. Attempt to save.</t>
  </si>
  <si>
    <t>System rejects input. Validation error: Number of years must be &gt; 0.</t>
  </si>
  <si>
    <t>Negative number of years (IC-LE-09)</t>
  </si>
  <si>
    <t>Years: -2, other fields valid.</t>
  </si>
  <si>
    <t>1. Enter negative years.
2. Attempt to save.</t>
  </si>
  <si>
    <t>Payments per year = 0 (IC-LE-10)</t>
  </si>
  <si>
    <t>Payments/year: 0, other fields valid.</t>
  </si>
  <si>
    <t>1. Enter payments per year as 0.
2. Attempt to save.</t>
  </si>
  <si>
    <t>System rejects input. Validation error: Payments per year must be &gt; 0.</t>
  </si>
  <si>
    <t>TC-NEG-015</t>
  </si>
  <si>
    <t>Negative payments per year (IC-LE-10)</t>
  </si>
  <si>
    <t>Payments/year: -4, other fields valid.</t>
  </si>
  <si>
    <t>1. Enter negative payments per year.
2. Attempt to save.</t>
  </si>
  <si>
    <t>TC-NEG-016</t>
  </si>
  <si>
    <t>Build plan without saving (PR-LE-02)</t>
  </si>
  <si>
    <t>Row added with data entered but NOT saved.</t>
  </si>
  <si>
    <t>Standard valid parameters (unsaved).</t>
  </si>
  <si>
    <t>1. Add row.
2. Enter data.
3. Press "(Re)Build Plan" without saving.</t>
  </si>
  <si>
    <t>System does not generate schedule. Error/prompt: Data must be saved before schedule generation.</t>
  </si>
  <si>
    <t>TC-NEG-017</t>
  </si>
  <si>
    <t>Build plan without adding row (PR-LE-01)</t>
  </si>
  <si>
    <t>No row in input grid.</t>
  </si>
  <si>
    <t>1. Press "(Re)Build Plan" without adding or selecting a row.</t>
  </si>
  <si>
    <t>System does not generate schedule. Error: No leasing data available for schedule generation.</t>
  </si>
  <si>
    <t>TC-NEG-018</t>
  </si>
  <si>
    <t>Non-numeric asset value</t>
  </si>
  <si>
    <t>Asset value: "abc", other fields valid.</t>
  </si>
  <si>
    <t>1. Enter non-numeric asset value.
2. Attempt to save.</t>
  </si>
  <si>
    <t>System rejects input. Validation error: Asset value must be a numeric value &gt; 0.</t>
  </si>
  <si>
    <t>TC-NEG-019</t>
  </si>
  <si>
    <t>Non-numeric interest rate</t>
  </si>
  <si>
    <t>Interest rate: "xyz", other fields valid.</t>
  </si>
  <si>
    <t>1. Enter non-numeric interest rate.
2. Attempt to save.</t>
  </si>
  <si>
    <t>System rejects input. Validation error: Interest rate must be a numeric value ≥ 0.</t>
  </si>
  <si>
    <t>TC-NEG-020</t>
  </si>
  <si>
    <t>Non-numeric years</t>
  </si>
  <si>
    <t>Years: "two", other fields valid.</t>
  </si>
  <si>
    <t>1. Enter non-numeric years.
2. Attempt to save.</t>
  </si>
  <si>
    <t>System rejects input. Validation error: Number of years must be a numeric value &gt; 0.</t>
  </si>
  <si>
    <t>Boundary value test cases</t>
  </si>
  <si>
    <t>Down payment % = 0 (lower boundary, IC-LE-04)</t>
  </si>
  <si>
    <t>Asset value: 100000, Down payment %: 0, other fields valid.</t>
  </si>
  <si>
    <t>1. Enter down payment % = 0.
2. Save.
3. Press "(Re)Build Plan".</t>
  </si>
  <si>
    <t>Down payment amount = 0. Financed amount = 100000. Schedule generated successfully.</t>
  </si>
  <si>
    <t>Down payment % = 100 (upper boundary, IC-LE-04)</t>
  </si>
  <si>
    <t>Asset value: 100000, Down payment %: 100, Residual value %: 0, Interest rate: 5%, Years: 1, Payments/year: 12.</t>
  </si>
  <si>
    <t>1. Enter down payment % = 100.
2. Save.
3. Press "(Re)Build Plan".</t>
  </si>
  <si>
    <t>Down payment amount = 100000. Financed amount = 0. All installment annuities = 0 or schedule contains only down payment and residual value rows.</t>
  </si>
  <si>
    <t>Residual value % = 0 (lower boundary, IC-LE-06)</t>
  </si>
  <si>
    <t>Asset value: 50000, Residual value %: 0, other fields valid.</t>
  </si>
  <si>
    <t>1. Enter residual value % = 0.
2. Save.
3. Press "(Re)Build Plan".</t>
  </si>
  <si>
    <t>Residual value % = 100 (upper boundary, IC-LE-06)</t>
  </si>
  <si>
    <t>Asset value: 50000, Down payment %: 0, Residual value %: 100, Interest rate: 5%, Years: 1, Payments/year: 12.</t>
  </si>
  <si>
    <t>1. Enter residual value % = 100.
2. Save.
3. Press "(Re)Build Plan".</t>
  </si>
  <si>
    <t>Residual value amount = 50000. Financed amount = 50000. All principal in installments effectively 0; balance remains at 50000. Only interest is paid.</t>
  </si>
  <si>
    <t>Interest rate = 0 (lower boundary, IC-LE-08)</t>
  </si>
  <si>
    <t>Asset value: 60000, Down payment %: 10, Residual value %: 5, Interest rate: 0%, Years: 5, Payments/year: 12.</t>
  </si>
  <si>
    <t>1. Enter interest rate = 0.
2. Save.
3. Press "(Re)Build Plan".</t>
  </si>
  <si>
    <t>PMT = (54000 − 3000) / 60 = 850.00. All interest values = 0. Principal = annuity for each installment. Final balance = 3000.</t>
  </si>
  <si>
    <t>Minimum number of years = 1 (IC-LE-09)</t>
  </si>
  <si>
    <t>Years: 1, Payments/year: 12, other fields valid.</t>
  </si>
  <si>
    <t>1. Enter years = 1.
2. Save.
3. Press "(Re)Build Plan".</t>
  </si>
  <si>
    <t>N = 12 installments. Schedule generated with 12 installment rows.</t>
  </si>
  <si>
    <t>Minimum payments per year = 1 (IC-LE-10)</t>
  </si>
  <si>
    <t>Years: 5, Payments/year: 1, other fields valid.</t>
  </si>
  <si>
    <t>1. Enter payments/year = 1.
2. Save.
3. Press "(Re)Build Plan".</t>
  </si>
  <si>
    <t>N = 5 installments. r = annual rate / 1. Schedule generated with 5 installment rows.</t>
  </si>
  <si>
    <t>Very small asset value (near zero)</t>
  </si>
  <si>
    <t>Asset value: 0.01, Down payment %: 0, Residual value %: 0, Interest rate: 5%, Years: 1, Payments/year: 12.</t>
  </si>
  <si>
    <t>1. Enter asset value = 0.01.
2. Save.
3. Press "(Re)Build Plan".</t>
  </si>
  <si>
    <t>Schedule generated. Financed amount = 0.01. All values rounded to 2 decimals. Final balance = 0.</t>
  </si>
  <si>
    <t>Very large asset value</t>
  </si>
  <si>
    <t>Asset value: 999999999.99, Down payment %: 10, Residual value %: 5, Interest rate: 6%, Years: 5, Payments/year: 12.</t>
  </si>
  <si>
    <t>1. Enter very large asset value.
2. Save.
3. Press "(Re)Build Plan".</t>
  </si>
  <si>
    <t>Schedule generated without overflow. All values rounded to 2 decimals. Final balance = residual value amount.</t>
  </si>
  <si>
    <t>Down payment % just above 0 (0.01)</t>
  </si>
  <si>
    <t>Asset value: 100000, Down payment %: 0.01, other fields valid.</t>
  </si>
  <si>
    <t>1. Enter down payment % = 0.01.
2. Save.
3. Observe derived fields.</t>
  </si>
  <si>
    <t>Down payment amount = 100000 × 0.0001 = 10.00. Financed amount = 99990.00.</t>
  </si>
  <si>
    <t>Down payment % just below 100 (99.99)</t>
  </si>
  <si>
    <t>Asset value: 100000, Down payment %: 99.99, Residual value %: 0, Interest rate: 5%, Years: 1, Payments/year: 12.</t>
  </si>
  <si>
    <t>1. Enter down payment % = 99.99.
2. Save.
3. Press "(Re)Build Plan".</t>
  </si>
  <si>
    <t>Down payment amount = 99990.00. Financed amount = 10.00. Schedule generated with very small installments.</t>
  </si>
  <si>
    <t>One installment total (Years: 1, Payments/year: 1)</t>
  </si>
  <si>
    <t>Asset value: 50000, Down payment %: 10, Residual value %: 5, Interest rate: 6%, Years: 1, Payments/year: 1.</t>
  </si>
  <si>
    <t>1. Enter years = 1, payments/year = 1.
2. Save.
3. Press "(Re)Build Plan".</t>
  </si>
  <si>
    <t>N = 1. Single installment. Principal(1) = round(45000 − 2500, 2) = 42500.00. Interest(1) = round(45000 × 0.06, 2) = 2700.00. PMT(1) = round(42500 + 2700, 2) = 45200.00. Final balance = 2500.</t>
  </si>
  <si>
    <t>Asset value: 50000, Down payment %: 10, Residual value %: 5, Interest rate: 50%, Years: 3, Payments/year: 12.</t>
  </si>
  <si>
    <t>1. Enter interest rate = 50%.
2. Save.
3. Press "(Re)Build Plan".</t>
  </si>
  <si>
    <t>Schedule generated. Periodic rate = 50/100/12 ≈ 0.04167. High interest portions in early periods. Balance monotonically decreases. Final balance = residual value.</t>
  </si>
  <si>
    <t>Very small interest rate (0.01%)</t>
  </si>
  <si>
    <t>Asset value: 100000, Down payment %: 10, Residual value %: 5, Interest rate: 0.01%, Years: 5, Payments/year: 12.</t>
  </si>
  <si>
    <t>1. Enter interest rate = 0.01%.
2. Save.
3. Press "(Re)Build Plan".</t>
  </si>
  <si>
    <t>Schedule generated. Very small interest amounts per period. PMT ≈ (PV − FV) / N. Final balance = residual value.</t>
  </si>
  <si>
    <t>Both down payment and residual value at 0%</t>
  </si>
  <si>
    <t>Asset value: 100000, Down payment %: 0, Residual value %: 0, Interest rate: 5%, Years: 5, Payments/year: 12.</t>
  </si>
  <si>
    <t>1. Enter 0% for both.
2. Save.
3. Press "(Re)Build Plan".</t>
  </si>
  <si>
    <t>Financed amount = 100000. FV = 0. Schedule generated. Final balance = 0 after last installment.</t>
  </si>
  <si>
    <t>Down payment + residual value = 100%</t>
  </si>
  <si>
    <t>Asset value: 100000, Down payment %: 50, Residual value %: 50, Interest rate: 5%, Years: 1, Payments/year: 12.</t>
  </si>
  <si>
    <t>1. Enter down payment 50%, residual 50%.
2. Save.
3. Press "(Re)Build Plan".</t>
  </si>
  <si>
    <t>Financed amount = 50000. FV = 50000. PMT covers only interest on financed amount since FV = PV. Balance remains at 50000 throughout, converging to residual value.</t>
  </si>
  <si>
    <t>Contract date on last day of February (leap year)</t>
  </si>
  <si>
    <t>Contract date: 2028-02-29, Asset value: 50000, Down payment %: 10, Residual value %: 5, Interest rate: 5%, Years: 1, Payments/year: 12.</t>
  </si>
  <si>
    <t>1. Enter contract date as 2028-02-29.
2. Save.
3. Press "(Re)Build Plan".</t>
  </si>
  <si>
    <t>Down payment row dated 2028-02-29. All installment dates are end-of-month. System handles leap year correctly.</t>
  </si>
  <si>
    <t>Large number of installments (Years: 30, Payments/year: 12)</t>
  </si>
  <si>
    <t>Asset value: 500000, Down payment %: 20, Residual value %: 0, Interest rate: 4%, Years: 30, Payments/year: 12.</t>
  </si>
  <si>
    <t>1. Enter years = 30, payments/year = 12.
2. Save.
3. Press "(Re)Build Plan".</t>
  </si>
  <si>
    <t>N = 360 installments. Schedule generated with 360 rows + down payment + residual value rows. Final balance = 0. All values rounded to 2 decimals.</t>
  </si>
  <si>
    <t>Installment count display matches calculation (IC-LE-11)</t>
  </si>
  <si>
    <t>Row saved.</t>
  </si>
  <si>
    <t>Years: 7, Payments/year: 4.</t>
  </si>
  <si>
    <t>1. Enter years and payments/year.
2. Save.
3. Observe displayed number of installments.</t>
  </si>
  <si>
    <t>Displayed number of installments = 7 × 4 = 28. Matches exactly.</t>
  </si>
  <si>
    <t>Company and provider fields left empty (IC-LE-12)</t>
  </si>
  <si>
    <t>All required fields valid. Company: (empty), Provider: (empty).</t>
  </si>
  <si>
    <t>1. Leave company and provider empty.
2. Enter all required fields.
3. Save.
4. Press "(Re)Build Plan".</t>
  </si>
  <si>
    <t>System accepts input. Schedule generated successfully. Company and provider are optional and do not affect generation.</t>
  </si>
  <si>
    <t>Zero Down Payment and Zero Residual Value</t>
  </si>
  <si>
    <t>User is on the centralized leasing overview screen.</t>
  </si>
  <si>
    <t>Asset: 10000Down Payment %: 0Residual Value %: 0Interest: 5Years: 2Payments/Year: 12</t>
  </si>
  <si>
    <t>1. Add row and enter data.2. Save row.3. Press "(Re)Build Plan".</t>
  </si>
  <si>
    <t>Down Payment = 0.00.Residual Value = 0.00.Financed Amount = 10000.00.Outstanding balance converges exactly to 0.00 after the final installment.</t>
  </si>
  <si>
    <t>100% Down Payment</t>
  </si>
  <si>
    <t>Asset: 10000Down Payment %: 100Residual Value %: 0Interest: 5Years: 1Payments/Year: 12</t>
  </si>
  <si>
    <t>Down Payment = 10000.00.Financed Amount = 0.00.Annuity = 0.00.All interest and principal values are 0.00.Balance remains 0.00.</t>
  </si>
  <si>
    <t>Minimum Duration (1 Year, 1 Payment/Year)</t>
  </si>
  <si>
    <t>Asset: 10000Down %: 10RV %: 10Interest: 10Years: 1Payments/Year: 1</t>
  </si>
  <si>
    <t>Number of installments = 1.Periodic rate = 10% / 1 = 0.10.Interest(1) = 9000 * 0.10 = 900.00.Principal(1) = 8000.00 (adjusted to meet 1000.00 RV).PMT(1) = 8900.00.</t>
  </si>
  <si>
    <t>Final Adjustment &amp; Convergence Rules Enforcement</t>
  </si>
  <si>
    <t>Asset: 10000Down %: 15RV %: 22Interest: 3.33Years: 3Payments/Year: 12</t>
  </si>
  <si>
    <t>Schedule generated.Final Principal(N) = round(B(N-1) - FV, 2).Final PMT(N) = round(Principal(N) + Interest(N), 2).The outstanding balance after the final (36th) installment equals exactly 2200.00 (RV).</t>
  </si>
  <si>
    <t>Date Rules Validation (End of Month &amp; Matching Dates)</t>
  </si>
  <si>
    <t>Contract Date: 2024-02-15 (Leap year)Asset: 10000Years: 1Payments/Year: 12(Other fields valid)</t>
  </si>
  <si>
    <t>Down payment row date = 2024-02-15.Installment 1 date = 2024-02-29 (EOM).Installment 2 date = 2024-03-31 (EOM).Final installment (12) date = 2025-01-31.Residual Value row date = 2025-01-31.</t>
  </si>
  <si>
    <t>LLM Name</t>
  </si>
  <si>
    <t>Model</t>
  </si>
  <si>
    <t>Other details</t>
  </si>
  <si>
    <t>LLM1</t>
  </si>
  <si>
    <t>LLM2</t>
  </si>
  <si>
    <t>LLM3</t>
  </si>
  <si>
    <t>ChatGPT</t>
  </si>
  <si>
    <t>Gemini</t>
  </si>
  <si>
    <t>Claude</t>
  </si>
  <si>
    <t xml:space="preserve">GPT 5.4 </t>
  </si>
  <si>
    <t>Thinking; reference chat history - OFF; reference saved memories - OFF</t>
  </si>
  <si>
    <t>3.1 PRO</t>
  </si>
  <si>
    <t>Opus 4.6</t>
  </si>
  <si>
    <t>Paper convention</t>
  </si>
  <si>
    <t>End-to-End Standard Leasing Schedule Generation</t>
  </si>
  <si>
    <t>System is accessible, user is on the centralized leasing overview screen.</t>
  </si>
  <si>
    <t>Zero Interest Rate Calculation</t>
  </si>
  <si>
    <t>Schedule Regeneration After Modification</t>
  </si>
  <si>
    <t>A lease schedule exists (e.g., created in TC-POS-01).</t>
  </si>
  <si>
    <t>Updated Annual Interest Rate: 6</t>
  </si>
  <si>
    <t>TC-POS-04</t>
  </si>
  <si>
    <t>Master-Detail Display Separation</t>
  </si>
  <si>
    <t>Two saved lease records exist with different lease IDs.</t>
  </si>
  <si>
    <t>TC-POS-05</t>
  </si>
  <si>
    <t>CRUD Operations on Leasing Header</t>
  </si>
  <si>
    <t>Valid leasing parameters.</t>
  </si>
  <si>
    <t>The system successfully inserts, updates, and deletes records in the left region (editable leasing input grid).</t>
  </si>
  <si>
    <t>Contract Date: 2026-04-15Asset Value: 10000Down Payment %: 10Residual Value %: 10Annual Interest Rate: 5Number of Years: 2Payments per Year: 12Company: "Tech Corp"(Optional)</t>
  </si>
  <si>
    <t>1. Add a row in the left input grid.2. Enter Input Data.3. Save the row.4. Select the lease ID.5. Press "(Re)Build Plan".</t>
  </si>
  <si>
    <t>Derived fields display: Down Payment = 1000.00, RV = 1000.00, Financed = 9000.00, Installments = 24.Schedule (right grid) shows:- Down payment row (date: 2026-04-15)- 24 installments (dates: end-of-month)- RV row (date: same as 24th installment).Annuity, interest, and principal are computed per CR-LE-05,06,08,09 and rounded to 2 decimals.Outstanding balance monotonically decreases.</t>
  </si>
  <si>
    <t>Contract Date: 2026-01-10Asset Value: 10000Down Payment %: 20Residual Value %: 10Annual Interest Rate: 0Number of Years: 1Payments per Year: 12</t>
  </si>
  <si>
    <t>1. Add row and enter Input Data.2. Save data.3. Select lease ID and press "(Re)Build Plan".</t>
  </si>
  <si>
    <t>Schedule generated successfully.Down Payment = 2000.00, RV = 1000.00, Financed = 8000.00.Annuity = (8000 - 1000) / 12 = 583.33.Interest per period = 0.00.Principal per period = 583.33.Final adjustment applies for rounding.</t>
  </si>
  <si>
    <t>1. Select the existing lease in the left grid.2. Modify the Annual Interest Rate to 6.3. Save the modified row.4. Press "(Re)Build Plan".</t>
  </si>
  <si>
    <t>The schedule grid updates to reflect the new 6% interest rate calculations.New annuity, interest, and principal values are displayed.Previous schedule data for this lease ID is completely replaced.</t>
  </si>
  <si>
    <t>Lease 1 DataLease 2 Data</t>
  </si>
  <si>
    <t>1. Select Lease 1.2. Press "(Re)Build Plan".3. Select Lease 2.4. Press "(Re)Build Plan".5. Click between Lease 1 and Lease 2.</t>
  </si>
  <si>
    <t>The right schedule grid displays only the rows belonging to the currently selected lease ID.Lease 1 schedule is hidden when Lease 2 is selected, and vice versa.</t>
  </si>
  <si>
    <t>1. Add new row with data.2. Update an existing row.3. Delete a row.</t>
  </si>
  <si>
    <t>Build Plan Without Saving</t>
  </si>
  <si>
    <t>Any valid contract data.</t>
  </si>
  <si>
    <t>1. Add a row in the left grid.2. Enter Input Data.3. Do NOT save the row.4. Press "(Re)Build Plan".</t>
  </si>
  <si>
    <t>The system requires the data to be saved before generation.Schedule is not generated.Error/Warning message prompts the user to save first.</t>
  </si>
  <si>
    <t>Invalid Asset Value (Negative)</t>
  </si>
  <si>
    <t>User is adding a new lease simulation.</t>
  </si>
  <si>
    <t>Asset Value: -5000(Other fields valid)</t>
  </si>
  <si>
    <t>1. Add row and enter Input Data.2. Attempt to save the row.</t>
  </si>
  <si>
    <t>System rejects the input (IC-LE-02: Asset value &gt; 0).Row is not saved.Error message displayed regarding invalid Asset Value.</t>
  </si>
  <si>
    <t>Missing Mandatory Field (Contract Date)</t>
  </si>
  <si>
    <t>Contract Date: [Blank](Other fields valid)</t>
  </si>
  <si>
    <t>1. Add row and enter Input Data without Contract Date.2. Attempt to save the row.</t>
  </si>
  <si>
    <t>System rejects the input (IC-LE-01: Contract date must be provided).Row is not saved.Error message displayed.</t>
  </si>
  <si>
    <t>Down Payment Percentage Out of Bounds</t>
  </si>
  <si>
    <t>Down Payment %: 105(Other fields valid)</t>
  </si>
  <si>
    <t>System rejects the input (IC-LE-04: Down payment % ∈ [0,100]).Row is not saved.</t>
  </si>
  <si>
    <t>Missing Number of Years</t>
  </si>
  <si>
    <t>Number of Years: 0(Other fields valid)</t>
  </si>
  <si>
    <t>System rejects the input (IC-LE-09: Number of years &gt; 0).Row is not saved.</t>
  </si>
  <si>
    <t>TC-NEG-06</t>
  </si>
  <si>
    <t>Invalid Interest Rate (Negative)</t>
  </si>
  <si>
    <t>Annual Interest Rate: -2.5(Other fields valid)</t>
  </si>
  <si>
    <t>System rejects the input (IC-LE-08: Interest rate ≥ 0).Row is not saved.</t>
  </si>
  <si>
    <t>Criteria</t>
  </si>
  <si>
    <t>Correct expected results</t>
  </si>
  <si>
    <t>% correct expected results</t>
  </si>
  <si>
    <t>Invalid/hallucinated test cases</t>
  </si>
  <si>
    <t>% invalid test cases</t>
  </si>
  <si>
    <t>Test cases executed</t>
  </si>
  <si>
    <t>Passed test cases</t>
  </si>
  <si>
    <t>Failed test cases</t>
  </si>
  <si>
    <t>Pass rate %</t>
  </si>
  <si>
    <t>Unique defects detected</t>
  </si>
  <si>
    <t>TCs</t>
  </si>
  <si>
    <t>Output result</t>
  </si>
  <si>
    <t>Same as expected</t>
  </si>
  <si>
    <t>Pass</t>
  </si>
  <si>
    <t>Fail</t>
  </si>
  <si>
    <t>pass</t>
  </si>
  <si>
    <t>Invalid test case</t>
  </si>
  <si>
    <t>Pass (output = expected); 
Fail (output != expected)</t>
  </si>
  <si>
    <t xml:space="preserve">Output </t>
  </si>
  <si>
    <t>Result (Pass/Fail)</t>
  </si>
  <si>
    <t xml:space="preserve">Regular annuity is computed as 3495.14, not 3372.48. Mathematically wrong expected result. </t>
  </si>
  <si>
    <t xml:space="preserve">Principal 1 is 2595.14, not 2472.48. Mathematically wrong expected result. </t>
  </si>
  <si>
    <t xml:space="preserve">Error: Check constraint violated. Output same as expected. </t>
  </si>
  <si>
    <t xml:space="preserve">Error: Correct errors before saving. 
Output same as expected. </t>
  </si>
  <si>
    <t>same as expected</t>
  </si>
  <si>
    <t>Incorrect expected result</t>
  </si>
  <si>
    <t>Same as P-LE-005
Contract date=2026-01-15; Asset value=100000; Down payment %=10; Residual value %=20; Annual interest rate=12; Number of years=2; Payments per year=12</t>
  </si>
  <si>
    <t>Same as expected; 
The test is valid, but not directly executable from visible columns unless the evaluator calculates the outstanding balance manually.</t>
  </si>
  <si>
    <t>Different than expected. The value 120000 automatically saved when "(Re)Build Plan" button was pressed</t>
  </si>
  <si>
    <t xml:space="preserve">Wrong expected result. The schedule is recalculated only if the (Re)Build Plan button is pressed. </t>
  </si>
  <si>
    <t xml:space="preserve">Error: Correct errors before saving. </t>
  </si>
  <si>
    <t xml:space="preserve">Output different than expected. The entry is saved with asset value = 0. </t>
  </si>
  <si>
    <t>Error: check constraint violated because asset value is negative</t>
  </si>
  <si>
    <t xml:space="preserve">Check constraint violated error. </t>
  </si>
  <si>
    <t xml:space="preserve">Correct errors before saving error. </t>
  </si>
  <si>
    <t>no error, number of years is saved with 0</t>
  </si>
  <si>
    <t>1 error has occurred</t>
  </si>
  <si>
    <t>Error: input value not long enough for date format</t>
  </si>
  <si>
    <t xml:space="preserve">Number of years = 3 is automatically saved when (Re)Build Plan button is pressed. </t>
  </si>
  <si>
    <t xml:space="preserve">Contract date must be filled. </t>
  </si>
  <si>
    <t xml:space="preserve">The generated schedule contains negative annuity and negative principal values. </t>
  </si>
  <si>
    <t xml:space="preserve">The generated schedule contains negative principal values. </t>
  </si>
  <si>
    <t>Output</t>
  </si>
  <si>
    <t xml:space="preserve">Asset value = 0 is saved. </t>
  </si>
  <si>
    <t xml:space="preserve">Check constraint violated error message. </t>
  </si>
  <si>
    <t xml:space="preserve">Years = 0 is saved, no error occurs. </t>
  </si>
  <si>
    <t>Error: 1 error has occurred; ORA-06502: PL/SQL value or conversion error: character to number conversion error</t>
  </si>
  <si>
    <t>No schedule generated, a simulation must be selected</t>
  </si>
  <si>
    <t>Error</t>
  </si>
  <si>
    <t>error</t>
  </si>
  <si>
    <t xml:space="preserve">Annuity and principal columns have negative values. </t>
  </si>
  <si>
    <t>Total no of functional requirements</t>
  </si>
  <si>
    <t xml:space="preserve">Total no of business rules </t>
  </si>
  <si>
    <t xml:space="preserve">Total no of computational rules </t>
  </si>
  <si>
    <t>% valid and executable test cases</t>
  </si>
  <si>
    <t>Test cases generated - total</t>
  </si>
  <si>
    <t>Test cases generated by category</t>
  </si>
  <si>
    <t>Total no of input constraints</t>
  </si>
  <si>
    <t>Total no of process requirements</t>
  </si>
  <si>
    <t>P-LE-001, P-LE-002, P-LE-017</t>
  </si>
  <si>
    <t>P-LE-002, P-LE-004, P-LE-023, B-LE-001, B-LE-002, B-LE-008</t>
  </si>
  <si>
    <t>P-LE-002, P-LE-004, P-LE-018, P-LE-023, P-LE-025, B-LE-001, B-LE-002, B-LE-008</t>
  </si>
  <si>
    <t>P-LE-007, P-LE-025, B-LE-010</t>
  </si>
  <si>
    <t>P-LE-003, P-LE-016, N-LE-019</t>
  </si>
  <si>
    <t>P-LE-002, P-LE-004, P-LE-018, P-LE-023, P-LE-024, B-LE-001, B-LE-002, B-LE-003, B-LE-004, B-LE-006, B-LE-007, B-LE-008, B-LE-009</t>
  </si>
  <si>
    <t>P-LE-015, P-LE-025, B-LE-005</t>
  </si>
  <si>
    <t>P-LE-013, P-LE-014, B-LE-010</t>
  </si>
  <si>
    <t>P-LE-014, B-LE-002, B-LE-010</t>
  </si>
  <si>
    <t>P-LE-010, B-LE-012</t>
  </si>
  <si>
    <t>P-LE-012, B-LE-011</t>
  </si>
  <si>
    <t>P-LE-007, P-LE-025, B-LE-003, B-LE-004, B-LE-010</t>
  </si>
  <si>
    <t>N-LE-001, N-LE-020</t>
  </si>
  <si>
    <t>N-LE-002, N-LE-003, B-LE-008</t>
  </si>
  <si>
    <t>N-LE-005, N-LE-006, B-LE-001, B-LE-002</t>
  </si>
  <si>
    <t>N-LE-008, N-LE-009, B-LE-003, B-LE-004</t>
  </si>
  <si>
    <t>N-LE-010, N-LE-017</t>
  </si>
  <si>
    <t>N-LE-012, N-LE-013, B-LE-006</t>
  </si>
  <si>
    <t>N-LE-014, N-LE-015, B-LE-007</t>
  </si>
  <si>
    <t>P-LE-018, N-LE-018</t>
  </si>
  <si>
    <t>P-LE-003, P-LE-019, N-LE-018, N-LE-020</t>
  </si>
  <si>
    <t>TC-POS-01, TC-POS-02, TC-POS-03, TC-BND-01, TC-BND-02, TC-BND-03, TC-BND-04</t>
  </si>
  <si>
    <t>TC-POS-01, TC-POS-02, TC-BND-01, TC-BND-02</t>
  </si>
  <si>
    <t>TC-POS-01, TC-POS-02, TC-BND-01</t>
  </si>
  <si>
    <t>TC-POS-01, TC-POS-02, TC-POS-03, TC-BND-02, TC-BND-03</t>
  </si>
  <si>
    <t>TC-POS-01, TC-POS-04</t>
  </si>
  <si>
    <t>TC-POS-015, TC-POS-024</t>
  </si>
  <si>
    <t>TC-POS-001, TC-POS-011, TC-BND-018</t>
  </si>
  <si>
    <t>TC-POS-001, TC-POS-017, TC-BND-017</t>
  </si>
  <si>
    <t>invalid test case</t>
  </si>
  <si>
    <t>Valid and executable test cases</t>
  </si>
  <si>
    <t>Total no of requirements (functional + business rules + computational rules + constraints + process reqs</t>
  </si>
  <si>
    <t>TC-POS-02, TC-BND-01, TC-BND-03, TC-BND-04</t>
  </si>
  <si>
    <t>TC-POS-01, TC-POS-02, TC-BND-01, TC-BND-03</t>
  </si>
  <si>
    <t>---</t>
  </si>
  <si>
    <t>TC-NEG-04, TC-BND-01, TC-BND-02</t>
  </si>
  <si>
    <t>TC-NEG-05, TC-BND-03</t>
  </si>
  <si>
    <t>TC-POS-007, TC-BND-005</t>
  </si>
  <si>
    <t>P-LE-001, P-LE-021</t>
  </si>
  <si>
    <t>P-LE-007, P-LE-025, B-LE-005, B-LE-010</t>
  </si>
  <si>
    <t>Requirements covered by valid TCs - total</t>
  </si>
  <si>
    <t>Functional requirements covered by valid TCs</t>
  </si>
  <si>
    <t>Business rules covered by valid TCs</t>
  </si>
  <si>
    <t>Computational rules covered by valid TCs</t>
  </si>
  <si>
    <t>Input constraints covered by valid TCs</t>
  </si>
  <si>
    <t>Process requirements covered by valid TCs</t>
  </si>
  <si>
    <t>P-LE-009, P-LE-023</t>
  </si>
  <si>
    <t>APEX actual</t>
  </si>
  <si>
    <t>Down payment</t>
  </si>
  <si>
    <t>P-LE-003, P-LE-007, P-LE-008, P-LE-018, P-LE-022, P-LE-025, N-LE-016, N-LE-017, N-LE-020, B-LE-001, B-LE-002, B-LE-003, B-LE-004, B-LE-005, B-LE-007, B-LE-008, B-LE-010, B-LE-011, B-LE-012, P-LE-016, P-LE-023</t>
  </si>
  <si>
    <t>TC-POS-01, TC-POS-02, TC-POS-03, TC-BND-01, TC-BND-02, TC-BND-03, TC-BND-04; TC-NEG-01</t>
  </si>
  <si>
    <t>TC-POS-001, TC-POS-006, TC-POS-007, TC-POS-010, TC-POS-011, TC-POS-014, TC-POS-015, TC-POS-024, TC-POS-029, TC-POS-030, TC-POS-031, TC-POS-032, TC-BND-001, TC-BND-002, TC-BND-003, TC-BND-004, TC-BND-005, TC-BND-006, TC-BND-007, TC-BND-008, TC-BND-009, TC-BND-012, TC-BND-013, TC-BND-014, TC-BND-015, TC-BND-016, TC-BND-017, TC-BND-018, TC-BND-020; TC-POS-009; TC-NEG-016; TC-NEG-017</t>
  </si>
  <si>
    <t>TC-POS-001, TC-POS-014, TC-POS-022, TC-POS-024, TC-POS-025; TC-NEG-016</t>
  </si>
  <si>
    <t>TC-POS-01, TC-NEG-01; TC-POS-02; TC-BND-01; TC-BND-02; TC-BND-03; TC-BND-04;</t>
  </si>
  <si>
    <t xml:space="preserve">TC-POS-001, TC-POS-002, TC-POS-021, TC-POS-029, TC-BND-001, TC-BND-002, TC-BND-010, TC-BND-011, TC-BND-015, TC-BND-016; TC-POS-020; TC-BND-018. </t>
  </si>
  <si>
    <t>P-LE-002, P-LE-004, P-LE-018, P-LE-023, P-LE-025, B-LE-003, B-LE-004, B-LE-008, B-LE-010; P-LE-007;</t>
  </si>
  <si>
    <t xml:space="preserve">TC-POS-01, TC-POS-02, TC-BND-01; TC-BND-03; TC-BND-04; </t>
  </si>
  <si>
    <t>TC-POS-001, TC-POS-003, TC-POS-021, TC-POS-030, TC-BND-003, TC-BND-004, TC-BND-015, TC-BND-016; TC-POS-029; TC-POS-006, TC-POS-007, TC-POS-010, TC-POS-020, TC-POS-028, TC-BND-005, TC-BND-009, TC-BND-014</t>
  </si>
  <si>
    <t>TC-POS-001, TC-POS-014, TC-POS-031, TC-NEG-016; TC-POS-006; TC-POS-007;  TC-POS-029; TC-POS-030; TC-POS-031; TC-POS-032</t>
  </si>
  <si>
    <t>TC-POS-01, TC-POS-05; TC-POS-02; TC-NEG-01; TC-NEG-02; TC-NEG-03; TC-NEG-04; TC-NEG-05; TC-NEG-06; TC-BND-01; TC-BND-02; TC-BND-03; TC-BND-04</t>
  </si>
  <si>
    <t xml:space="preserve">TC-POS-004, TC-POS-021, TC-POS-029, TC-BND-001, TC-BND-002, TC-BND-008, TC-BND-010, TC-BND-011, TC-BND-015, TC-BND-016, TC-POS-006, TC-POS-007, TC-BND-009. </t>
  </si>
  <si>
    <t xml:space="preserve">P-LE-002, P-LE-004, P-LE-024, P-LE-025, B-LE-006, B-LE-007, B-LE-009; P-LE-008; </t>
  </si>
  <si>
    <t xml:space="preserve">TC-POS-01, TC-BND-03; TC-POS-02; TC-BND-04; </t>
  </si>
  <si>
    <t>TC-POS-001, TC-POS-005, TC-POS-021, TC-POS-032, TC-BND-006, TC-BND-007, TC-BND-012, TC-BND-018, TC-BND-019; TC-POS-006; TC-POS-007; TC-POS-029</t>
  </si>
  <si>
    <t>P-LE-025,B-LE-002, B-LE-003, B-LE-004, B-LE-005, B-LE-008, B-LE-010</t>
  </si>
  <si>
    <t>TC-POS-001, TC-POS-006, TC-POS-007, TC-POS-010, TC-BND-002, TC-BND-004, TC-BND-005, TC-BND-012, TC-BND-013, TC-BND-014, TC-BND-015, TC-BND-016</t>
  </si>
  <si>
    <t xml:space="preserve">P-LE-015, P-LE-025, B-LE-005, B-LE-010; P-LE-007; </t>
  </si>
  <si>
    <t xml:space="preserve"> TC-POS-007, TC-POS-008, TC-BND-005, TC-BND-012, TC-BND-013, TC-BND-014, TC-BND-016; TC-POS-015</t>
  </si>
  <si>
    <t>TC-POS-007, TC-POS-009, TC-POS-010, TC-BND-005, TC-BND-012, TC-BND-016; TC-POS-020</t>
  </si>
  <si>
    <t>TC-POS-010, TC-POS-028, TC-BND-012</t>
  </si>
  <si>
    <t>TC-POS-001, TC-POS-002, TC-POS-003, TC-POS-004, TC-POS-005, TC-POS-021, TC-POS-029, TC-POS-030, TC-POS-032, TC-BND-001, TC-BND-002, TC-BND-003, TC-BND-004, TC-BND-006, TC-BND-007, TC-BND-008,TC-BND-010, TC-BND-011, TC-BND-019</t>
  </si>
  <si>
    <t>P-LE-002, P-LE-004, B-LE-001, B-LE-002, B-LE-008</t>
  </si>
  <si>
    <t>TC-POS-001, TC-POS-002, TC-POS-021, TC-POS-029, TC-BND-001, TC-BND-002, TC-BND-010, TC-BND-011</t>
  </si>
  <si>
    <t>TC-POS-001, TC-POS-003, TC-POS-006, TC-POS-010, TC-POS-021, TC-POS-028, TC-POS-030, TC-BND-003, TC-BND-004, TC-BND-005, TC-BND-015, TC-BND-016</t>
  </si>
  <si>
    <t>P-LE-002, P-LE-004, P-LE-018, P-LE-025, B-LE-003, B-LE-004, B-LE-008</t>
  </si>
  <si>
    <t>P-LE-002, P-LE-004, P-LE-018, P-LE-025, B-LE-001, B-LE-002, B-LE-008</t>
  </si>
  <si>
    <t>TC-POS-004, TC-POS-021, TC-POS-029, TC-BND-001, TC-BND-002, TC-BND-008, TC-BND-010, TC-BND-011, TC-BND-015, TC-BND-016; TC-POS-006</t>
  </si>
  <si>
    <t xml:space="preserve">P-LE-002, P-LE-004, P-LE-024, P-LE-025, B-LE-006, B-LE-007, B-LE-009, P-LE-008, B-LE-008, P-LE-007; </t>
  </si>
  <si>
    <t xml:space="preserve">TC-POS-01, TC-POS-02, TC-BND-03; TC-BND-04; </t>
  </si>
  <si>
    <t>TC-POS-001, TC-POS-005, TC-POS-021, TC-POS-032, TC-BND-006, TC-BND-007, TC-BND-012, TC-BND-018, TC-BND-019, TC-POS-006, TC-POS-007, TC-POS-029</t>
  </si>
  <si>
    <t xml:space="preserve"> P-LE-015</t>
  </si>
  <si>
    <t>TC-POS-006, TC-POS-008, TC-POS-032, TC-BND-013</t>
  </si>
  <si>
    <t xml:space="preserve"> TC-BND-02</t>
  </si>
  <si>
    <t xml:space="preserve"> P-LE-015, P-LE-025, B-LE-005</t>
  </si>
  <si>
    <t>TC-POS-02, TC-BND-02, TC-BND-03</t>
  </si>
  <si>
    <t>TC-POS-007, TC-POS-008, TC-BND-005, TC-BND-012</t>
  </si>
  <si>
    <t>TC-POS-007, TC-POS-009, TC-BND-005, TC-BND-012</t>
  </si>
  <si>
    <t>TC-POS-010, TC-BND-012, TC-POS-028</t>
  </si>
  <si>
    <t xml:space="preserve"> TC-POS-01</t>
  </si>
  <si>
    <t xml:space="preserve"> TC-POS-008, TC-POS-019, TC-BND-005, TC-BND-013</t>
  </si>
  <si>
    <t>TC-POS-019, TC-BND-013</t>
  </si>
  <si>
    <t>TC-POS-033,TC-BND-008, TC-BND-009, TC-BND-015, TC-BND-018</t>
  </si>
  <si>
    <t>TC-POS-006, TC-POS-020,TC-BND-008, TC-BND-009, TC-BND-018</t>
  </si>
  <si>
    <t>P-LE-007,P-LE-025, B-LE-003, B-LE-004, B-LE-010; B-LE-002</t>
  </si>
  <si>
    <t>TC-BND-01, TC-BND-04</t>
  </si>
  <si>
    <t>TC-POS-001, TC-POS-010, TC-POS-028, TC-POS-030, TC-BND-003, TC-BND-004, TC-BND-005, TC-BND-012, TC-BND-015, TC-BND-018; TC-POS-015; TC-POS-024; TC-BND-013</t>
  </si>
  <si>
    <t>P-LE-011, B-LE-007</t>
  </si>
  <si>
    <t>TC-POS-016, TC-BND-017</t>
  </si>
  <si>
    <t>TC-POS-010, TC-POS-028, TC-POS-030, TC-BND-003, TC-BND-005, TC-BND-012, TC-BND-015, TC-BND-018; TC-POS-015; TC-BND-009; TC-BND-013</t>
  </si>
  <si>
    <t>TC-NEG-002, TC-NEG-003, TC-NEG-018, TC-BND-008, TC-BND-009</t>
  </si>
  <si>
    <t>N-LE-011, B-LE-005</t>
  </si>
  <si>
    <t>TC-BND-006, TC-BND-007, TC-BND-012, TC-BND-018, TC-BND-019</t>
  </si>
  <si>
    <t>B-LE-006, B-LE-007, B-LE-009</t>
  </si>
  <si>
    <t>TC-NEG-005, TC-NEG-006, TC-BND-001, TC-BND-002, TC-BND-010, TC-BND-011, TC-BND-015</t>
  </si>
  <si>
    <t>TC-NEG-008, TC-NEG-009, TC-BND-003, TC-BND-004, TC-BND-015</t>
  </si>
  <si>
    <t>TC-NEG-011, TC-NEG-019, TC-BND-005</t>
  </si>
  <si>
    <t>TC-NEG-012, TC-NEG-013, TC-NEG-020, TC-BND-006, TC-BND-012</t>
  </si>
  <si>
    <t>TC-NEG-014, TC-NEG-015, TC-BND-007, TC-BND-012</t>
  </si>
  <si>
    <t xml:space="preserve"> P-LE-002, P-LE-017, N-LE-016</t>
  </si>
  <si>
    <t xml:space="preserve">TC-POS-01, TC-POS-05; TC-POS-02; TC-BND-01; TC-BND-02; TC-BND-03; TC-BND-04; TC-NEG-01; TC-NEG-02; TC-NEG-03; TC-NEG-04; TC-NEG-05; TC-NEG-06; </t>
  </si>
  <si>
    <t>TC-POS-001, TC-POS-014, TC-POS-024, TC-POS-025,TC-NEG-016</t>
  </si>
  <si>
    <t>P-LE-002, P-LE-003, P-LE-019, N-LE-016, N-LE-018, N-LE-020; P-LE-025; P-LE-010; P-LE-011; P-LE-018; P-LE-022; P-LE-023; B-LE-001; B-LE-002; B-LE-003; B-LE-004; B-LE-005; B-LE-007; B-LE-008; B-LE-010; B-LE-011; B-LE-012</t>
  </si>
  <si>
    <t>TC-NEG-01; TC-POS-01; TC-POS-02; TC-BND-01; TC-BND-02; TC-BND-03; TC-BND-04</t>
  </si>
  <si>
    <t xml:space="preserve">TC-POS-001, TC-POS-014, TC-POS-031, TC-NEG-016, TC-BND-001, TC-BND-002, TC-BND-003, TC-BND-004, TC-BND-005, TC-BND-006, TC-BND-007, TC-BND-008, TC-BND-009, TC-BND-012, TC-BND-013, TC-BND-014, TC-BND-015, TC-BND-016, TC-BND-017, TC-BND-018, TC-BND-020; TC-POS-006; TC-POS-007; TC-POS-024; TC-POS-029; TC-POS-030; TC-POS-032; TC-BND-011; </t>
  </si>
  <si>
    <t xml:space="preserve">P-LE-002, P-LE-003, P-LE-019, N-LE-016, N-LE-018, N-LE-020; P-LE-022; P-LE-023; P-LE-025; B-LE-001; B-LE-002; B-LE-003; B-LE-004; B-LE-005; B-LE-007; B-LE-008; B-LE-010; B-LE-011; B-LE-012; P-LE-010; P-LE-011; P-LE-016; P-LE-018 </t>
  </si>
  <si>
    <t>P-LE-003, P-LE-008, P-LE-018, P-LE-022, P-LE-025; P-LE-010, P-LE-011, P-LE-016, P-LE-009, P-LE-019, P-LE-023, N-LE-016, N-LE-017, N-LE-018, N-LE-020, B-LE-001, B-LE-002, B-LE-003, B-LE-004, B-LE-005, B-LE-007, B-LE-008, B-LE-010, B-LE-011, B-LE-012</t>
  </si>
  <si>
    <t>TC-POS-01, TC-POS-02, TC-BND-01, TC-BND-02, TC-BND-03, TC-BND-04; TC-POS-03, TC-POS-04, TC-NEG-01</t>
  </si>
  <si>
    <t>TC-POS-001, TC-POS-006, TC-POS-007, TC-POS-010, TC-POS-011, TC-POS-014, TC-POS-015, TC-POS-024, TC-POS-029, TC-POS-030, TC-POS-031, TC-POS-032, TC-BND-001, TC-BND-002, TC-BND-003, TC-BND-004, TC-BND-005, TC-BND-006, TC-BND-007, TC-BND-008, TC-BND-009, TC-BND-012, TC-BND-013, TC-BND-014, TC-BND-015, TC-BND-016, TC-BND-017, TC-BND-018, TC-BND-020; TC-POS-012, TC-POS-016, TC-POS-017, TC-POS-018, TC-POS-019, TC-POS-020, TC-POS-033, TC-NEG-016, TC-BND-011</t>
  </si>
  <si>
    <t>TC-POS-05, TC-POS-01, TC-POS-03, TC-NEG-01</t>
  </si>
  <si>
    <t>TC-POS-001, TC-POS-022, TC-POS-025, TC-POS-026, TC-POS-013</t>
  </si>
  <si>
    <t>P-LE-003, P-LE-009, P-LE-016, N-LE-019, P-LE-008</t>
  </si>
  <si>
    <t>TC-POS-013, TC-POS-027</t>
  </si>
  <si>
    <t>TC-POS-031, TC-NEG-016</t>
  </si>
  <si>
    <t>Overall requirements covered</t>
  </si>
  <si>
    <t>% requirement coverage per category</t>
  </si>
  <si>
    <t>% overall requirement coverage</t>
  </si>
  <si>
    <t>Test cases</t>
  </si>
  <si>
    <t>Oracle</t>
  </si>
  <si>
    <t>GPT 5.5</t>
  </si>
  <si>
    <t>Thinking; effort medium, speed standard</t>
  </si>
  <si>
    <t>Payment date</t>
  </si>
  <si>
    <t>Year</t>
  </si>
  <si>
    <t>Residual value</t>
  </si>
  <si>
    <t>Payment no</t>
  </si>
  <si>
    <t>1</t>
  </si>
  <si>
    <t>2</t>
  </si>
  <si>
    <t>3</t>
  </si>
  <si>
    <t>4</t>
  </si>
  <si>
    <t>5</t>
  </si>
  <si>
    <t>6</t>
  </si>
  <si>
    <t>7</t>
  </si>
  <si>
    <t>8</t>
  </si>
  <si>
    <t>9</t>
  </si>
  <si>
    <t>10</t>
  </si>
  <si>
    <t>11</t>
  </si>
  <si>
    <t>12</t>
  </si>
  <si>
    <t>13</t>
  </si>
  <si>
    <t>14</t>
  </si>
  <si>
    <t>15</t>
  </si>
  <si>
    <t>16</t>
  </si>
  <si>
    <t>17</t>
  </si>
  <si>
    <t>18</t>
  </si>
  <si>
    <t>19</t>
  </si>
  <si>
    <t>20</t>
  </si>
  <si>
    <t>21</t>
  </si>
  <si>
    <t>22</t>
  </si>
  <si>
    <t>23</t>
  </si>
  <si>
    <t>24</t>
  </si>
  <si>
    <t>VR</t>
  </si>
  <si>
    <t>Payment number</t>
  </si>
  <si>
    <t>Row type</t>
  </si>
  <si>
    <t>DOWN_PAYMENT</t>
  </si>
  <si>
    <t>INSTALLMENT</t>
  </si>
  <si>
    <t>RESIDUAL_VALUE</t>
  </si>
  <si>
    <t>ChatGPT result</t>
  </si>
  <si>
    <t>Gemini result</t>
  </si>
  <si>
    <t>Claude result</t>
  </si>
  <si>
    <t>Case 1: Standard non-zero interest schedule</t>
  </si>
  <si>
    <t>Case 2: Zero interest case</t>
  </si>
  <si>
    <t>25</t>
  </si>
  <si>
    <t>26</t>
  </si>
  <si>
    <t>27</t>
  </si>
  <si>
    <t>28</t>
  </si>
  <si>
    <t>29</t>
  </si>
  <si>
    <t>30</t>
  </si>
  <si>
    <t>31</t>
  </si>
  <si>
    <t>32</t>
  </si>
  <si>
    <t>33</t>
  </si>
  <si>
    <t>34</t>
  </si>
  <si>
    <t>35</t>
  </si>
  <si>
    <t>36</t>
  </si>
  <si>
    <t>Case 3: Rounding-sensitive final adjustment</t>
  </si>
  <si>
    <t>Observations</t>
  </si>
  <si>
    <t>Contract date: 15-Apr-2026 Asset value: 10,000.00 Down payment percentage: 10% Residual value percentage: 10% Annual interest rate: 5% Number of years: 2 Payments per year: 12 Company: optional / blank Leasing provider: optional / blank</t>
  </si>
  <si>
    <t>Contract date: 15-Apr-2026 Asset value: 10,000.00 Down payment percentage: 20% Residual value percentage: 10% Annual interest rate: 0% Number of years: 1 Payments per year: 12 Company: optional / blank Leasing provider: optional / blank</t>
  </si>
  <si>
    <t>Contract date: 15-Apr-2026 Asset value: 10,000.00 Down payment percentage: 15% Residual value percentage: 22% Annual interest rate: 3.33% Number of years: 3 Payments per year: 12 Company: optional / blank Leasing provider: optional / blank</t>
  </si>
  <si>
    <t>Human</t>
  </si>
  <si>
    <t>Case 1:</t>
  </si>
  <si>
    <t>crt date</t>
  </si>
  <si>
    <t>asset value</t>
  </si>
  <si>
    <t>down paym</t>
  </si>
  <si>
    <t>residual</t>
  </si>
  <si>
    <t>annual interest</t>
  </si>
  <si>
    <t>no years</t>
  </si>
  <si>
    <t>payments/year</t>
  </si>
  <si>
    <t>Case 2</t>
  </si>
  <si>
    <t>Case 3</t>
  </si>
  <si>
    <t>Balance</t>
  </si>
  <si>
    <t>All three LLM-generated schedules matched the APEX actual output and the human baseline. Differences were limited to formatting, such as date format, blank versus zero residual fields, or omission of trailing decimals.</t>
  </si>
  <si>
    <t>All three models correctly handled the zero-interest branch and the residual value row. The LLM schedules matched the APEX actual output, including the final adjusted installment of 583.37 and the VR row of 1,000.00.</t>
  </si>
  <si>
    <t>Claude matched the APEX actual output and the human baseline, including the final adjusted installment. ChatGPT miscomputed the regular annuity, using 218.28 instead of 190.23 from the first installment onward. Gemini was closer, but used 190.20 for regular installments and produced an incorrect final adjusted installment of 191.49 instead of 190.36.</t>
  </si>
  <si>
    <t>ChatGPT expected - run1</t>
  </si>
  <si>
    <t>Gemini expected - run1</t>
  </si>
  <si>
    <t>Claude expected - run1</t>
  </si>
  <si>
    <t>ChatGPT expected - run2</t>
  </si>
  <si>
    <t>Gemini expected - run2</t>
  </si>
  <si>
    <t>Claude expected - run2</t>
  </si>
  <si>
    <t>ChatGPT expected - run3</t>
  </si>
  <si>
    <t>Gemini expected - run3</t>
  </si>
  <si>
    <t>Claude expected - run3</t>
  </si>
  <si>
    <t>ChatGPT and Claude matched the APEX actual output and the human baseline. Gemini miscomputed the regular annuity, using 354.97 instead of 355.14, which propagated through the schedule and resulted in an incorrect final adjusted installment of 359.20 instead of 355.09.</t>
  </si>
  <si>
    <t>All three models correctly handled the zero-interest branch and matched the APEX actual output and the human baseline, including the final adjusted installment of 583.37 and the VR row of 1,000.00.</t>
  </si>
  <si>
    <t>ChatGPT and Claude matched the APEX actual output and the human baseline, including the regular annuity of 190.23 and the final adjusted installment of 190.36. Gemini used 190.25 for the regular installments, and the resulting rounding differences propagated through the schedule, producing an incorrect final adjusted installment of 189.64.</t>
  </si>
  <si>
    <t>All three LLM-generated schedules matched the APEX actual output and the human baseline. Any differences were limited to non-substantive formatting, such as date representation or display formatting.</t>
  </si>
  <si>
    <t>ChatGPT and Claude matched the APEX actual output and the human baseline, including the regular annuity of 190.23 and the final adjusted installment of 190.36. Gemini used 190.30 for the regular installments, causing differences to propagate through the schedule and resulting in an incorrect final adjusted installment of 187.83.</t>
  </si>
  <si>
    <t>Overall</t>
  </si>
  <si>
    <t>0/3</t>
  </si>
  <si>
    <t>3/3</t>
  </si>
  <si>
    <t>2/3</t>
  </si>
  <si>
    <t>8/9</t>
  </si>
  <si>
    <t>5/9</t>
  </si>
  <si>
    <t>9/9</t>
  </si>
  <si>
    <t>TC ID</t>
  </si>
  <si>
    <t>Expected result</t>
  </si>
  <si>
    <t>Requirement IDs</t>
  </si>
  <si>
    <t>Contract date blank</t>
  </si>
  <si>
    <t>Suite</t>
  </si>
  <si>
    <t>Requirements covered</t>
  </si>
  <si>
    <t>Coverage %</t>
  </si>
  <si>
    <t>Unique defects/discrepancies</t>
  </si>
  <si>
    <t>Conventional baseline</t>
  </si>
  <si>
    <t>54/58</t>
  </si>
  <si>
    <t>52/58</t>
  </si>
  <si>
    <t>58/58</t>
  </si>
  <si>
    <t>Actual result</t>
  </si>
  <si>
    <t>Category</t>
  </si>
  <si>
    <t>Scenario / test data</t>
  </si>
  <si>
    <t>Positive</t>
  </si>
  <si>
    <t>Standard lease: date 15-Apr-2026, asset 10,000, DP 10%, RV 10%, interest 5%, 2 years, 12/year</t>
  </si>
  <si>
    <t>FR-LE-01, FR-LE-05–13, FR-LE-15, FR-LE-17; CR-LE-01–06, CR-LE-08–10; BR-LE-01–09; IC-LE-11; PR-LE-03, PR-LE-10</t>
  </si>
  <si>
    <t>Zero-interest lease: asset 10,000, DP 20%, RV 10%, interest 0%, 1 year, 12/year</t>
  </si>
  <si>
    <t>Zero-rate branch used; installments 1–11 = 583.33; final installment = 583.37; interest always 0; final balance reaches RV</t>
  </si>
  <si>
    <t>FR-LE-09–12; CR-LE-07–10; BR-LE-04, BR-LE-05, BR-LE-09; IC-LE-08</t>
  </si>
  <si>
    <t>Rounding-sensitive case: asset 10,000, DP 15%, RV 22%, interest 3.33%, 3 years, 12/year</t>
  </si>
  <si>
    <t>Regular PMT 190.23; all values rounded to 2 decimals; final installment adjusted to 190.36; final balance = 2,200</t>
  </si>
  <si>
    <t>FR-LE-09–12; CR-LE-05, CR-LE-06, CR-LE-08–10; BR-LE-04, BR-LE-05, BR-LE-09</t>
  </si>
  <si>
    <t>Boundary</t>
  </si>
  <si>
    <t>Input accepted; down payment amount=0; financed amount=asset value; valid schedule produced</t>
  </si>
  <si>
    <t>FR-LE-05, FR-LE-07; CR-LE-01, CR-LE-03; IC-LE-03, IC-LE-04</t>
  </si>
  <si>
    <t>Input accepted; DP=asset value; financed amount=0; no negative balance generated</t>
  </si>
  <si>
    <t>FR-LE-05, FR-LE-07; CR-LE-01, CR-LE-03; BR-LE-03; IC-LE-04</t>
  </si>
  <si>
    <t>Negative</t>
  </si>
  <si>
    <t>Down payment percentage blank</t>
  </si>
  <si>
    <t>Value rejected because below permitted range</t>
  </si>
  <si>
    <t>Value rejected because above permitted range</t>
  </si>
  <si>
    <t>Input accepted; residual amount=0; schedule converges to zero</t>
  </si>
  <si>
    <t>FR-LE-06, FR-LE-12; CR-LE-02, CR-LE-10; BR-LE-05, BR-LE-09; IC-LE-05, IC-LE-06</t>
  </si>
  <si>
    <t>FR-LE-06; CR-LE-02; BR-LE-05; IC-LE-06</t>
  </si>
  <si>
    <t>Residual value percentage blank</t>
  </si>
  <si>
    <t>Value rejected because asset value must be &gt;0</t>
  </si>
  <si>
    <t>Annual interest rate blank</t>
  </si>
  <si>
    <t>Value rejected because interest must be ≥0</t>
  </si>
  <si>
    <t>Value rejected because years must be &gt;0</t>
  </si>
  <si>
    <t>Value rejected because payments/year must be &gt;0</t>
  </si>
  <si>
    <t>Company and Leasing provider left blank; all required financial fields valid</t>
  </si>
  <si>
    <t>Row can be saved and schedule generated normally; optional descriptive fields do not affect calculations</t>
  </si>
  <si>
    <t>Unsaved values must not be used to generate a valid schedule; save-before-generation behavior is enforced</t>
  </si>
  <si>
    <t>Schedule and derived values regenerate using modified saved parameters</t>
  </si>
  <si>
    <t>FR-LE-04, FR-LE-17; PR-LE-04, PR-LE-08, PR-LE-10</t>
  </si>
  <si>
    <t>Have at least two lease IDs; select lease A, then lease B</t>
  </si>
  <si>
    <t>Right schedule grid displays only rows belonging to selected lease; left grid remains editable overview</t>
  </si>
  <si>
    <t>FR-LE-14; PR-LE-05, PR-LE-06, PR-LE-07</t>
  </si>
  <si>
    <t>Insert a new leasing row, update it, then delete a test row; inspect overview</t>
  </si>
  <si>
    <t>Header grid supports insert/update/delete and provides centralized overview of simulations</t>
  </si>
  <si>
    <t>FR-LE-02, FR-LE-16; PR-LE-06, PR-LE-09</t>
  </si>
  <si>
    <t>Pass/Fail</t>
  </si>
  <si>
    <t>Defect/discrepancy</t>
  </si>
  <si>
    <t>Value  rejected because below [0,100].</t>
  </si>
  <si>
    <t>Required-field constraint is enforced; a valid schedule cannot be generated with the down payment percentage missing.</t>
  </si>
  <si>
    <t>Required-field constraint is enforced; a valid schedule cannot be generated with the residual value percentage missing.</t>
  </si>
  <si>
    <t>Required-field constraint is enforced; a valid schedule cannot be generated without a contract date.</t>
  </si>
  <si>
    <t>Required-field constraint is enforced; a valid schedule cannot be generated without an annual interest rate.</t>
  </si>
  <si>
    <t>Residual value = 100%, DP = 0%, interest = 0%, otherwise valid</t>
  </si>
  <si>
    <t>Input accepted; RV = asset value; regular principal payments are zero; final balance remains equal to RV.</t>
  </si>
  <si>
    <t>Add Row → Enter valid data → Save → (Re)Build Plan → Modify interest and/or DP → Save → (Re)Build Plan again</t>
  </si>
  <si>
    <t>Valid/executed tests</t>
  </si>
  <si>
    <t>Failed tests</t>
  </si>
  <si>
    <t>RefB-01</t>
  </si>
  <si>
    <t>RefB-02</t>
  </si>
  <si>
    <t>RefB-03</t>
  </si>
  <si>
    <t>RefB-04</t>
  </si>
  <si>
    <t>RefB-05</t>
  </si>
  <si>
    <t>RefB-06</t>
  </si>
  <si>
    <t>RefB-07</t>
  </si>
  <si>
    <t>RefB-08</t>
  </si>
  <si>
    <t>RefB-09</t>
  </si>
  <si>
    <t>RefB-10</t>
  </si>
  <si>
    <t>RefB-11</t>
  </si>
  <si>
    <t>RefB-12A</t>
  </si>
  <si>
    <t>RefB-12B</t>
  </si>
  <si>
    <t>RefB-13</t>
  </si>
  <si>
    <t>RefB-14</t>
  </si>
  <si>
    <t>RefB-15</t>
  </si>
  <si>
    <t>RefB-16</t>
  </si>
  <si>
    <t>RefB-17</t>
  </si>
  <si>
    <t>RefB-18</t>
  </si>
  <si>
    <t>RefB-19</t>
  </si>
  <si>
    <t>RefB-20</t>
  </si>
  <si>
    <t>RefB-21</t>
  </si>
  <si>
    <t>RefB-22</t>
  </si>
  <si>
    <t>RefB-23</t>
  </si>
  <si>
    <r>
      <t xml:space="preserve">Add new row and enter valid data, but do not save; press </t>
    </r>
    <r>
      <rPr>
        <sz val="10"/>
        <color theme="1"/>
        <rFont val="Times New Roman"/>
        <family val="1"/>
      </rPr>
      <t>(Re)Build Plan</t>
    </r>
  </si>
  <si>
    <t>Schedule generated correctly; DP=1,000; RV=1,000; PV=9,000; N=24; regular annuity 355.14; correct interest/principal; final adjustment; correct structure (DP row, installments 1...N, RV row), dates and displayed derived fields. Fixed annual interest rate remains unchanged throughout the schedule, while the interest amount decreases as the outstanding balance decreases. The reconstructed outstanding balance decreases monotonically toward the residual value and never becomes negative.</t>
  </si>
  <si>
    <t>Down payment = 0%, otherwise valid values</t>
  </si>
  <si>
    <t>Down payment = 100%, residual=0%, interest=0</t>
  </si>
  <si>
    <t>Down payment = -1%</t>
  </si>
  <si>
    <t>Down payment = 101%</t>
  </si>
  <si>
    <t>Residual value = 0%, otherwise valid</t>
  </si>
  <si>
    <t>Residual value = 101%</t>
  </si>
  <si>
    <t>Residual value = -1%</t>
  </si>
  <si>
    <t>Asset value = 0</t>
  </si>
  <si>
    <t>Annual interest = -0.01%</t>
  </si>
  <si>
    <t>Number of years = 0</t>
  </si>
  <si>
    <t>Payments per year = 0</t>
  </si>
  <si>
    <t>Simulation parameters row saved, schedule generated with only DP and VR rows</t>
  </si>
  <si>
    <t>FR-LE-02, FR-LE-03; PR-LE-1, PR-LE-02, PR-LE-10</t>
  </si>
  <si>
    <t xml:space="preserve">Row is saved with 0 as number of years. </t>
  </si>
  <si>
    <t>Defect / discrepancy</t>
  </si>
  <si>
    <t>Expected behavior</t>
  </si>
  <si>
    <t>Observed behavior</t>
  </si>
  <si>
    <t>Baseline</t>
  </si>
  <si>
    <t>–</t>
  </si>
  <si>
    <t>Schedule generation should rely on explicitly saved data</t>
  </si>
  <si>
    <t>Unsaved edits are automatically persisted and used for generation</t>
  </si>
  <si>
    <t>Asset value = 0 is accepted</t>
  </si>
  <si>
    <t>Asset value must be &gt; 0</t>
  </si>
  <si>
    <t>Row is saved with asset value = 0</t>
  </si>
  <si>
    <t>Number of years = 0 is accepted</t>
  </si>
  <si>
    <t>Number of years must be &gt; 0</t>
  </si>
  <si>
    <t>Row is saved with years = 0</t>
  </si>
  <si>
    <t>Down payment = 100% leads to invalid negative schedule values</t>
  </si>
  <si>
    <t>100% down payment is valid and should not produce negative balances</t>
  </si>
  <si>
    <t>Generated schedule contains negative annuity/principal values</t>
  </si>
  <si>
    <t>Residual value = 100% produces negative principal values</t>
  </si>
  <si>
    <t>100% residual value is within allowed range and final balance should converge correctly</t>
  </si>
  <si>
    <t>Generated schedule contains negative principal values</t>
  </si>
  <si>
    <t>P-LE-019, N-LE-018</t>
  </si>
  <si>
    <r>
      <t xml:space="preserve">Unsaved changes are automatically saved when </t>
    </r>
    <r>
      <rPr>
        <sz val="10"/>
        <color theme="1"/>
        <rFont val="Times New Roman"/>
        <family val="1"/>
      </rPr>
      <t>(Re)Build Plan</t>
    </r>
    <r>
      <rPr>
        <sz val="11"/>
        <color theme="1"/>
        <rFont val="Times New Roman"/>
        <family val="1"/>
      </rPr>
      <t xml:space="preserve"> is pressed</t>
    </r>
  </si>
  <si>
    <t>Schedule generated with negative annuity and principal values.</t>
  </si>
  <si>
    <t>Reference baseline</t>
  </si>
  <si>
    <t>No</t>
  </si>
  <si>
    <t>Standard non-zero interest</t>
  </si>
  <si>
    <t>Zero interest</t>
  </si>
  <si>
    <t>Rounding-sensitive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</si>
</sst>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d\-mmm\-yyyy"/>
    <numFmt numFmtId="165" formatCode="###,###,###,###,##0.00"/>
    <numFmt numFmtId="166" formatCode="[$-409]d\-mmm\-yy;@"/>
    <numFmt numFmtId="167" formatCode="0.0000"/>
  </numFmts>
  <fonts count="18">
    <font>
      <sz val="11"/>
      <color theme="1"/>
      <name val="Aptos Narrow"/>
      <family val="2"/>
      <scheme val="minor"/>
    </font>
    <font>
      <b/>
      <sz val="11"/>
      <color theme="1"/>
      <name val="Times New Roman"/>
      <family val="1"/>
    </font>
    <font>
      <sz val="11"/>
      <color theme="1"/>
      <name val="Times New Roman"/>
      <family val="1"/>
    </font>
    <font>
      <b/>
      <sz val="11"/>
      <color theme="1"/>
      <name val="Aptos Narrow"/>
      <family val="2"/>
      <scheme val="minor"/>
    </font>
    <font>
      <sz val="10"/>
      <color theme="1"/>
      <name val="Arial"/>
      <family val="2"/>
    </font>
    <font>
      <b/>
      <sz val="10"/>
      <color rgb="FFFFFFFF"/>
      <name val="Arial"/>
      <family val="2"/>
    </font>
    <font>
      <sz val="10"/>
      <name val="Arial"/>
      <family val="2"/>
    </font>
    <font>
      <b/>
      <sz val="10"/>
      <name val="Arial"/>
      <family val="2"/>
    </font>
    <font>
      <b/>
      <sz val="11"/>
      <color theme="1"/>
      <name val="Aptos Narrow"/>
      <family val="2"/>
      <scheme val="minor"/>
    </font>
    <font>
      <b/>
      <sz val="11"/>
      <name val="Aptos Narrow"/>
      <family val="2"/>
      <scheme val="minor"/>
    </font>
    <font>
      <sz val="11"/>
      <name val="Aptos Narrow"/>
      <family val="2"/>
      <scheme val="minor"/>
    </font>
    <font>
      <sz val="12"/>
      <color theme="1"/>
      <name val="Aptos"/>
      <family val="2"/>
    </font>
    <font>
      <sz val="12"/>
      <color theme="1"/>
      <name val="Times New Roman"/>
      <family val="1"/>
    </font>
    <font>
      <b/>
      <sz val="12"/>
      <color theme="1"/>
      <name val="Times New Roman"/>
      <family val="1"/>
    </font>
    <font>
      <sz val="12"/>
      <color rgb="FF000000"/>
      <name val="Times New Roman"/>
      <family val="1"/>
    </font>
    <font>
      <sz val="12"/>
      <color rgb="FFFF0000"/>
      <name val="Aptos"/>
      <family val="2"/>
    </font>
    <font>
      <sz val="10"/>
      <color theme="1"/>
      <name val="Arial Unicode MS"/>
    </font>
    <font>
      <sz val="10"/>
      <color theme="1"/>
      <name val="Times New Roman"/>
      <family val="1"/>
    </font>
  </fonts>
  <fills count="11">
    <fill>
      <patternFill patternType="none"/>
    </fill>
    <fill>
      <patternFill patternType="gray125"/>
    </fill>
    <fill>
      <patternFill patternType="solid">
        <fgColor theme="8" tint="0.79998168889431442"/>
        <bgColor indexed="64"/>
      </patternFill>
    </fill>
    <fill>
      <patternFill patternType="solid">
        <fgColor rgb="FF00FF00"/>
        <bgColor indexed="64"/>
      </patternFill>
    </fill>
    <fill>
      <patternFill patternType="solid">
        <fgColor rgb="FF2F5496"/>
      </patternFill>
    </fill>
    <fill>
      <patternFill patternType="solid">
        <fgColor rgb="FFFFC0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rgb="FFFF0000"/>
        <bgColor indexed="64"/>
      </patternFill>
    </fill>
    <fill>
      <patternFill patternType="solid">
        <fgColor rgb="FF00B0F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666666"/>
      </left>
      <right/>
      <top/>
      <bottom style="thin">
        <color rgb="FF666666"/>
      </bottom>
      <diagonal/>
    </border>
    <border>
      <left style="thin">
        <color rgb="FF666666"/>
      </left>
      <right/>
      <top style="thin">
        <color rgb="FF666666"/>
      </top>
      <bottom style="thin">
        <color rgb="FF666666"/>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rgb="FF666666"/>
      </right>
      <top/>
      <bottom style="thin">
        <color rgb="FF666666"/>
      </bottom>
      <diagonal/>
    </border>
    <border>
      <left style="medium">
        <color indexed="64"/>
      </left>
      <right style="thin">
        <color rgb="FF666666"/>
      </right>
      <top style="thin">
        <color rgb="FF666666"/>
      </top>
      <bottom style="thin">
        <color rgb="FF666666"/>
      </bottom>
      <diagonal/>
    </border>
    <border>
      <left style="medium">
        <color indexed="64"/>
      </left>
      <right style="thin">
        <color rgb="FF666666"/>
      </right>
      <top style="thin">
        <color rgb="FF666666"/>
      </top>
      <bottom style="medium">
        <color indexed="64"/>
      </bottom>
      <diagonal/>
    </border>
    <border>
      <left style="thin">
        <color rgb="FF666666"/>
      </left>
      <right style="thin">
        <color rgb="FF666666"/>
      </right>
      <top style="thin">
        <color rgb="FF666666"/>
      </top>
      <bottom style="medium">
        <color indexed="64"/>
      </bottom>
      <diagonal/>
    </border>
    <border>
      <left style="thin">
        <color rgb="FF666666"/>
      </left>
      <right/>
      <top style="thin">
        <color rgb="FF666666"/>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C4C7C5"/>
      </left>
      <right style="medium">
        <color rgb="FFC4C7C5"/>
      </right>
      <top style="medium">
        <color rgb="FFC4C7C5"/>
      </top>
      <bottom style="medium">
        <color rgb="FFC4C7C5"/>
      </bottom>
      <diagonal/>
    </border>
    <border>
      <left style="medium">
        <color indexed="64"/>
      </left>
      <right style="thin">
        <color rgb="FF666666"/>
      </right>
      <top style="medium">
        <color indexed="64"/>
      </top>
      <bottom style="thin">
        <color rgb="FF666666"/>
      </bottom>
      <diagonal/>
    </border>
    <border>
      <left style="thin">
        <color rgb="FF666666"/>
      </left>
      <right style="thin">
        <color rgb="FF666666"/>
      </right>
      <top style="medium">
        <color indexed="64"/>
      </top>
      <bottom style="thin">
        <color rgb="FF666666"/>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666666"/>
      </left>
      <right/>
      <top style="medium">
        <color indexed="64"/>
      </top>
      <bottom style="thin">
        <color rgb="FF666666"/>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C4C7C5"/>
      </left>
      <right style="medium">
        <color rgb="FFC4C7C5"/>
      </right>
      <top style="medium">
        <color rgb="FFC4C7C5"/>
      </top>
      <bottom/>
      <diagonal/>
    </border>
    <border>
      <left/>
      <right/>
      <top style="medium">
        <color rgb="FFC4C7C5"/>
      </top>
      <bottom style="medium">
        <color rgb="FFC4C7C5"/>
      </bottom>
      <diagonal/>
    </border>
    <border>
      <left/>
      <right/>
      <top style="medium">
        <color rgb="FFC4C7C5"/>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rgb="FFC4C7C5"/>
      </right>
      <top style="medium">
        <color indexed="64"/>
      </top>
      <bottom style="medium">
        <color rgb="FFC4C7C5"/>
      </bottom>
      <diagonal/>
    </border>
    <border>
      <left style="medium">
        <color rgb="FFC4C7C5"/>
      </left>
      <right style="medium">
        <color rgb="FFC4C7C5"/>
      </right>
      <top style="medium">
        <color indexed="64"/>
      </top>
      <bottom style="medium">
        <color rgb="FFC4C7C5"/>
      </bottom>
      <diagonal/>
    </border>
    <border>
      <left style="medium">
        <color rgb="FFC4C7C5"/>
      </left>
      <right style="medium">
        <color indexed="64"/>
      </right>
      <top style="medium">
        <color indexed="64"/>
      </top>
      <bottom style="medium">
        <color rgb="FFC4C7C5"/>
      </bottom>
      <diagonal/>
    </border>
    <border>
      <left style="medium">
        <color indexed="64"/>
      </left>
      <right style="medium">
        <color rgb="FFC4C7C5"/>
      </right>
      <top style="medium">
        <color rgb="FFC4C7C5"/>
      </top>
      <bottom style="medium">
        <color rgb="FFC4C7C5"/>
      </bottom>
      <diagonal/>
    </border>
    <border>
      <left style="medium">
        <color rgb="FFC4C7C5"/>
      </left>
      <right style="medium">
        <color indexed="64"/>
      </right>
      <top style="medium">
        <color rgb="FFC4C7C5"/>
      </top>
      <bottom style="medium">
        <color rgb="FFC4C7C5"/>
      </bottom>
      <diagonal/>
    </border>
    <border>
      <left style="medium">
        <color indexed="64"/>
      </left>
      <right style="medium">
        <color rgb="FFC4C7C5"/>
      </right>
      <top style="medium">
        <color rgb="FFC4C7C5"/>
      </top>
      <bottom/>
      <diagonal/>
    </border>
    <border>
      <left style="medium">
        <color rgb="FFC4C7C5"/>
      </left>
      <right style="medium">
        <color indexed="64"/>
      </right>
      <top style="medium">
        <color rgb="FFC4C7C5"/>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0">
    <xf numFmtId="0" fontId="0" fillId="0" borderId="0" xfId="0"/>
    <xf numFmtId="0" fontId="2" fillId="0" borderId="0" xfId="0" applyFont="1"/>
    <xf numFmtId="0" fontId="2" fillId="0" borderId="0" xfId="0" applyFont="1" applyAlignment="1">
      <alignment wrapText="1"/>
    </xf>
    <xf numFmtId="0" fontId="2" fillId="2" borderId="1" xfId="0" applyFont="1" applyFill="1" applyBorder="1" applyAlignment="1">
      <alignment wrapText="1"/>
    </xf>
    <xf numFmtId="0" fontId="2" fillId="0" borderId="1" xfId="0" applyFont="1" applyBorder="1"/>
    <xf numFmtId="0" fontId="2" fillId="2" borderId="1" xfId="0" applyFont="1" applyFill="1" applyBorder="1"/>
    <xf numFmtId="0" fontId="3" fillId="0" borderId="0" xfId="0" applyFont="1" applyAlignment="1">
      <alignment horizontal="center" vertical="center" wrapText="1"/>
    </xf>
    <xf numFmtId="0" fontId="0" fillId="0" borderId="0" xfId="0" applyAlignment="1">
      <alignment wrapText="1"/>
    </xf>
    <xf numFmtId="0" fontId="4"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wrapText="1"/>
    </xf>
    <xf numFmtId="0" fontId="0" fillId="5" borderId="1" xfId="0" applyFill="1" applyBorder="1"/>
    <xf numFmtId="0" fontId="0" fillId="6" borderId="1" xfId="0" applyFill="1" applyBorder="1" applyAlignment="1">
      <alignment wrapText="1"/>
    </xf>
    <xf numFmtId="0" fontId="0" fillId="7" borderId="1" xfId="0" applyFill="1" applyBorder="1" applyAlignment="1">
      <alignment wrapText="1"/>
    </xf>
    <xf numFmtId="0" fontId="0" fillId="0" borderId="0" xfId="0" applyAlignment="1">
      <alignment vertical="center"/>
    </xf>
    <xf numFmtId="0" fontId="4" fillId="3"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3" fillId="0" borderId="1" xfId="0" applyFont="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3" borderId="1" xfId="0" applyFill="1" applyBorder="1" applyAlignment="1">
      <alignment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vertical="center" wrapText="1"/>
    </xf>
    <xf numFmtId="0" fontId="0" fillId="10" borderId="1" xfId="0" applyFill="1" applyBorder="1"/>
    <xf numFmtId="2" fontId="0" fillId="10" borderId="1" xfId="0" applyNumberFormat="1" applyFill="1" applyBorder="1" applyAlignment="1">
      <alignment vertical="center" wrapText="1"/>
    </xf>
    <xf numFmtId="0" fontId="0" fillId="10" borderId="1" xfId="0" applyFill="1" applyBorder="1" applyAlignment="1">
      <alignment vertical="center"/>
    </xf>
    <xf numFmtId="2" fontId="0" fillId="10" borderId="11" xfId="0" applyNumberFormat="1" applyFill="1" applyBorder="1" applyAlignment="1">
      <alignment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2" xfId="0" applyBorder="1" applyAlignment="1">
      <alignment wrapText="1"/>
    </xf>
    <xf numFmtId="0" fontId="0" fillId="10" borderId="2" xfId="0" applyFill="1" applyBorder="1" applyAlignment="1">
      <alignment wrapText="1"/>
    </xf>
    <xf numFmtId="0" fontId="2"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12" fillId="0" borderId="0" xfId="0" applyFont="1" applyAlignment="1">
      <alignment vertical="center" wrapText="1"/>
    </xf>
    <xf numFmtId="0" fontId="12" fillId="0" borderId="0" xfId="0" applyFont="1"/>
    <xf numFmtId="0" fontId="13" fillId="0" borderId="0" xfId="0" applyFont="1" applyAlignment="1">
      <alignment horizontal="center" vertical="center" wrapText="1"/>
    </xf>
    <xf numFmtId="0" fontId="12" fillId="0" borderId="27" xfId="0" applyFont="1" applyBorder="1" applyAlignment="1">
      <alignment horizontal="center" vertical="center" wrapText="1"/>
    </xf>
    <xf numFmtId="0" fontId="12" fillId="0" borderId="21" xfId="0" applyFont="1" applyBorder="1" applyAlignment="1">
      <alignment horizontal="center" vertical="center" wrapText="1"/>
    </xf>
    <xf numFmtId="4" fontId="12" fillId="0" borderId="21" xfId="0" applyNumberFormat="1" applyFont="1" applyBorder="1" applyAlignment="1">
      <alignment horizontal="center" vertical="center" wrapText="1"/>
    </xf>
    <xf numFmtId="4"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4" fontId="12" fillId="0" borderId="41" xfId="0" applyNumberFormat="1" applyFont="1" applyBorder="1" applyAlignment="1">
      <alignment horizontal="center" vertical="center" wrapText="1"/>
    </xf>
    <xf numFmtId="4" fontId="12" fillId="0" borderId="42" xfId="0" applyNumberFormat="1" applyFont="1" applyBorder="1" applyAlignment="1">
      <alignment horizontal="center" vertical="center" wrapText="1"/>
    </xf>
    <xf numFmtId="0" fontId="0" fillId="0" borderId="0" xfId="0" applyAlignment="1">
      <alignment horizontal="center" vertical="center"/>
    </xf>
    <xf numFmtId="0" fontId="11" fillId="3" borderId="10" xfId="0" applyFont="1" applyFill="1" applyBorder="1" applyAlignment="1">
      <alignment vertical="center" wrapText="1"/>
    </xf>
    <xf numFmtId="15" fontId="11" fillId="3" borderId="43" xfId="0" applyNumberFormat="1" applyFont="1" applyFill="1" applyBorder="1" applyAlignment="1">
      <alignment vertical="center" wrapText="1"/>
    </xf>
    <xf numFmtId="0" fontId="11" fillId="3" borderId="43" xfId="0" applyFont="1" applyFill="1" applyBorder="1" applyAlignment="1">
      <alignment vertical="center" wrapText="1"/>
    </xf>
    <xf numFmtId="0" fontId="11" fillId="3" borderId="45" xfId="0" applyFont="1" applyFill="1" applyBorder="1" applyAlignment="1">
      <alignment vertical="center" wrapText="1"/>
    </xf>
    <xf numFmtId="0" fontId="11" fillId="3" borderId="11" xfId="0" applyFont="1" applyFill="1" applyBorder="1" applyAlignment="1">
      <alignment vertical="center" wrapText="1"/>
    </xf>
    <xf numFmtId="15" fontId="11" fillId="3" borderId="1" xfId="0" applyNumberFormat="1" applyFont="1" applyFill="1" applyBorder="1" applyAlignment="1">
      <alignment vertical="center" wrapText="1"/>
    </xf>
    <xf numFmtId="0" fontId="11" fillId="3" borderId="1" xfId="0" applyFont="1" applyFill="1" applyBorder="1" applyAlignment="1">
      <alignment vertical="center" wrapText="1"/>
    </xf>
    <xf numFmtId="0" fontId="11" fillId="3" borderId="2" xfId="0" applyFont="1" applyFill="1" applyBorder="1" applyAlignment="1">
      <alignment vertical="center" wrapText="1"/>
    </xf>
    <xf numFmtId="0" fontId="11" fillId="3" borderId="50" xfId="0" applyFont="1" applyFill="1" applyBorder="1" applyAlignment="1">
      <alignment vertical="center" wrapText="1"/>
    </xf>
    <xf numFmtId="15" fontId="11" fillId="3" borderId="51" xfId="0" applyNumberFormat="1" applyFont="1" applyFill="1" applyBorder="1" applyAlignment="1">
      <alignment vertical="center" wrapText="1"/>
    </xf>
    <xf numFmtId="0" fontId="11" fillId="3" borderId="51" xfId="0" applyFont="1" applyFill="1" applyBorder="1" applyAlignment="1">
      <alignment vertical="center" wrapText="1"/>
    </xf>
    <xf numFmtId="0" fontId="11" fillId="3" borderId="6" xfId="0" applyFont="1" applyFill="1" applyBorder="1" applyAlignment="1">
      <alignment vertical="center" wrapText="1"/>
    </xf>
    <xf numFmtId="0" fontId="12" fillId="3" borderId="10" xfId="0" applyFont="1" applyFill="1" applyBorder="1" applyAlignment="1">
      <alignment vertical="center" wrapText="1"/>
    </xf>
    <xf numFmtId="15" fontId="12" fillId="3" borderId="43" xfId="0" applyNumberFormat="1" applyFont="1" applyFill="1" applyBorder="1" applyAlignment="1">
      <alignment vertical="center" wrapText="1"/>
    </xf>
    <xf numFmtId="0" fontId="12" fillId="3" borderId="43" xfId="0" applyFont="1" applyFill="1" applyBorder="1" applyAlignment="1">
      <alignment vertical="center" wrapText="1"/>
    </xf>
    <xf numFmtId="0" fontId="12" fillId="3" borderId="44" xfId="0" applyFont="1" applyFill="1" applyBorder="1" applyAlignment="1">
      <alignment vertical="center" wrapText="1"/>
    </xf>
    <xf numFmtId="0" fontId="12" fillId="3" borderId="11" xfId="0" applyFont="1" applyFill="1" applyBorder="1" applyAlignment="1">
      <alignment vertical="center" wrapText="1"/>
    </xf>
    <xf numFmtId="15" fontId="12" fillId="3" borderId="1" xfId="0" applyNumberFormat="1" applyFont="1" applyFill="1" applyBorder="1" applyAlignment="1">
      <alignment vertical="center" wrapText="1"/>
    </xf>
    <xf numFmtId="0" fontId="12" fillId="3" borderId="1" xfId="0" applyFont="1" applyFill="1" applyBorder="1" applyAlignment="1">
      <alignment vertical="center" wrapText="1"/>
    </xf>
    <xf numFmtId="0" fontId="12" fillId="3" borderId="12" xfId="0" applyFont="1" applyFill="1" applyBorder="1" applyAlignment="1">
      <alignment vertical="center" wrapText="1"/>
    </xf>
    <xf numFmtId="0" fontId="12" fillId="3" borderId="51" xfId="0" applyFont="1" applyFill="1" applyBorder="1" applyAlignment="1">
      <alignment vertical="center" wrapText="1"/>
    </xf>
    <xf numFmtId="0" fontId="12" fillId="3" borderId="52" xfId="0" applyFont="1" applyFill="1" applyBorder="1" applyAlignment="1">
      <alignment vertical="center" wrapText="1"/>
    </xf>
    <xf numFmtId="0" fontId="12" fillId="3" borderId="50" xfId="0" applyFont="1" applyFill="1" applyBorder="1" applyAlignment="1">
      <alignment vertical="center" wrapText="1"/>
    </xf>
    <xf numFmtId="15" fontId="12" fillId="3" borderId="51" xfId="0" applyNumberFormat="1" applyFont="1" applyFill="1" applyBorder="1" applyAlignment="1">
      <alignment vertical="center" wrapText="1"/>
    </xf>
    <xf numFmtId="15" fontId="12" fillId="3" borderId="14" xfId="0" applyNumberFormat="1" applyFont="1" applyFill="1" applyBorder="1" applyAlignment="1">
      <alignment vertical="center" wrapText="1"/>
    </xf>
    <xf numFmtId="0" fontId="12" fillId="3" borderId="14" xfId="0" applyFont="1" applyFill="1" applyBorder="1" applyAlignment="1">
      <alignment vertical="center" wrapText="1"/>
    </xf>
    <xf numFmtId="0" fontId="12" fillId="3" borderId="15" xfId="0" applyFont="1" applyFill="1" applyBorder="1" applyAlignment="1">
      <alignment vertical="center" wrapText="1"/>
    </xf>
    <xf numFmtId="0" fontId="12" fillId="9" borderId="1" xfId="0" applyFont="1" applyFill="1" applyBorder="1" applyAlignment="1">
      <alignment vertical="center" wrapText="1"/>
    </xf>
    <xf numFmtId="0" fontId="11" fillId="3" borderId="10" xfId="0" applyFont="1" applyFill="1" applyBorder="1" applyAlignment="1">
      <alignment horizontal="left" vertical="center" wrapText="1" indent="1"/>
    </xf>
    <xf numFmtId="15" fontId="11" fillId="3" borderId="43" xfId="0" applyNumberFormat="1" applyFont="1" applyFill="1" applyBorder="1" applyAlignment="1">
      <alignment horizontal="left" vertical="center" wrapText="1" indent="1"/>
    </xf>
    <xf numFmtId="0" fontId="11" fillId="3" borderId="43" xfId="0" applyFont="1" applyFill="1" applyBorder="1" applyAlignment="1">
      <alignment horizontal="left" vertical="center" wrapText="1" indent="1"/>
    </xf>
    <xf numFmtId="0" fontId="11" fillId="3" borderId="45" xfId="0" applyFont="1" applyFill="1" applyBorder="1" applyAlignment="1">
      <alignment horizontal="left" vertical="center" wrapText="1" indent="1"/>
    </xf>
    <xf numFmtId="0" fontId="11" fillId="3" borderId="44" xfId="0" applyFont="1" applyFill="1" applyBorder="1" applyAlignment="1">
      <alignment vertical="center" wrapText="1"/>
    </xf>
    <xf numFmtId="0" fontId="11" fillId="3" borderId="11" xfId="0" applyFont="1" applyFill="1" applyBorder="1" applyAlignment="1">
      <alignment horizontal="left" vertical="center" wrapText="1" indent="1"/>
    </xf>
    <xf numFmtId="15" fontId="11" fillId="3" borderId="1" xfId="0" applyNumberFormat="1" applyFont="1" applyFill="1" applyBorder="1" applyAlignment="1">
      <alignment horizontal="left" vertical="center" wrapText="1" indent="1"/>
    </xf>
    <xf numFmtId="0" fontId="11" fillId="3" borderId="1" xfId="0" applyFont="1" applyFill="1" applyBorder="1" applyAlignment="1">
      <alignment horizontal="left" vertical="center" wrapText="1" indent="1"/>
    </xf>
    <xf numFmtId="0" fontId="11" fillId="3" borderId="2" xfId="0" applyFont="1" applyFill="1" applyBorder="1" applyAlignment="1">
      <alignment horizontal="left" vertical="center" wrapText="1" indent="1"/>
    </xf>
    <xf numFmtId="0" fontId="11" fillId="3" borderId="12" xfId="0" applyFont="1" applyFill="1" applyBorder="1" applyAlignment="1">
      <alignment vertical="center" wrapText="1"/>
    </xf>
    <xf numFmtId="0" fontId="13" fillId="0" borderId="1" xfId="0" applyFont="1" applyBorder="1" applyAlignment="1">
      <alignment horizontal="center" vertical="center" wrapText="1"/>
    </xf>
    <xf numFmtId="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4" fontId="13" fillId="5"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1" fillId="3" borderId="13" xfId="0" applyFont="1" applyFill="1" applyBorder="1" applyAlignment="1">
      <alignment horizontal="left" vertical="center" wrapText="1" indent="1"/>
    </xf>
    <xf numFmtId="0" fontId="11" fillId="3" borderId="14" xfId="0" applyFont="1" applyFill="1" applyBorder="1" applyAlignment="1">
      <alignment horizontal="left" vertical="center" wrapText="1" indent="1"/>
    </xf>
    <xf numFmtId="15" fontId="11" fillId="3" borderId="14" xfId="0" applyNumberFormat="1" applyFont="1" applyFill="1" applyBorder="1" applyAlignment="1">
      <alignment horizontal="left" vertical="center" wrapText="1" indent="1"/>
    </xf>
    <xf numFmtId="0" fontId="11" fillId="3" borderId="46" xfId="0" applyFont="1" applyFill="1" applyBorder="1" applyAlignment="1">
      <alignment horizontal="left" vertical="center" wrapText="1" indent="1"/>
    </xf>
    <xf numFmtId="0" fontId="11" fillId="3" borderId="52" xfId="0" applyFont="1" applyFill="1" applyBorder="1" applyAlignment="1">
      <alignment vertical="center" wrapText="1"/>
    </xf>
    <xf numFmtId="0" fontId="12" fillId="3" borderId="58" xfId="0" applyFont="1" applyFill="1" applyBorder="1" applyAlignment="1">
      <alignment horizontal="left" vertical="center" wrapText="1" indent="1"/>
    </xf>
    <xf numFmtId="0" fontId="12" fillId="3" borderId="61" xfId="0" applyFont="1" applyFill="1" applyBorder="1" applyAlignment="1">
      <alignment horizontal="left" vertical="center" wrapText="1" indent="1"/>
    </xf>
    <xf numFmtId="15" fontId="12" fillId="3" borderId="59" xfId="0" applyNumberFormat="1" applyFont="1" applyFill="1" applyBorder="1" applyAlignment="1">
      <alignment horizontal="left" vertical="center" wrapText="1" indent="1"/>
    </xf>
    <xf numFmtId="15" fontId="12" fillId="3" borderId="37" xfId="0" applyNumberFormat="1" applyFont="1" applyFill="1" applyBorder="1" applyAlignment="1">
      <alignment horizontal="left" vertical="center" wrapText="1" indent="1"/>
    </xf>
    <xf numFmtId="0" fontId="12" fillId="3" borderId="60" xfId="0" applyFont="1" applyFill="1" applyBorder="1" applyAlignment="1">
      <alignment horizontal="left" vertical="center" wrapText="1" indent="1"/>
    </xf>
    <xf numFmtId="0" fontId="12" fillId="3" borderId="54" xfId="0" applyFont="1" applyFill="1" applyBorder="1" applyAlignment="1">
      <alignment horizontal="left" vertical="center" wrapText="1" indent="1"/>
    </xf>
    <xf numFmtId="0" fontId="12" fillId="3" borderId="62" xfId="0" applyFont="1" applyFill="1" applyBorder="1" applyAlignment="1">
      <alignment horizontal="left" vertical="center" wrapText="1" indent="1"/>
    </xf>
    <xf numFmtId="0" fontId="11" fillId="3" borderId="59" xfId="0" applyFont="1" applyFill="1" applyBorder="1" applyAlignment="1">
      <alignment horizontal="left" vertical="center" wrapText="1" indent="1"/>
    </xf>
    <xf numFmtId="0" fontId="11" fillId="3" borderId="37" xfId="0" applyFont="1" applyFill="1" applyBorder="1" applyAlignment="1">
      <alignment horizontal="left" vertical="center" wrapText="1" indent="1"/>
    </xf>
    <xf numFmtId="0" fontId="12" fillId="3" borderId="59" xfId="0" applyFont="1" applyFill="1" applyBorder="1" applyAlignment="1">
      <alignment horizontal="left" vertical="center" wrapText="1" indent="1"/>
    </xf>
    <xf numFmtId="0" fontId="12" fillId="3" borderId="37" xfId="0" applyFont="1" applyFill="1" applyBorder="1" applyAlignment="1">
      <alignment horizontal="left" vertical="center" wrapText="1" indent="1"/>
    </xf>
    <xf numFmtId="0" fontId="12" fillId="3" borderId="63" xfId="0" applyFont="1" applyFill="1" applyBorder="1" applyAlignment="1">
      <alignment horizontal="left" vertical="center" wrapText="1" indent="1"/>
    </xf>
    <xf numFmtId="0" fontId="12" fillId="3" borderId="55" xfId="0" applyFont="1" applyFill="1" applyBorder="1" applyAlignment="1">
      <alignment horizontal="left" vertical="center" wrapText="1" indent="1"/>
    </xf>
    <xf numFmtId="0" fontId="12" fillId="3" borderId="64" xfId="0" applyFont="1" applyFill="1" applyBorder="1" applyAlignment="1">
      <alignment horizontal="left" vertical="center" wrapText="1" indent="1"/>
    </xf>
    <xf numFmtId="0" fontId="12" fillId="3" borderId="53" xfId="0" applyFont="1" applyFill="1" applyBorder="1" applyAlignment="1">
      <alignment horizontal="left" vertical="center" wrapText="1" indent="1"/>
    </xf>
    <xf numFmtId="15" fontId="12" fillId="3" borderId="53" xfId="0" applyNumberFormat="1" applyFont="1" applyFill="1" applyBorder="1" applyAlignment="1">
      <alignment horizontal="left" vertical="center" wrapText="1" indent="1"/>
    </xf>
    <xf numFmtId="0" fontId="11" fillId="3" borderId="44" xfId="0" applyFont="1" applyFill="1" applyBorder="1" applyAlignment="1">
      <alignment horizontal="left" vertical="center" wrapText="1" indent="1"/>
    </xf>
    <xf numFmtId="0" fontId="11" fillId="3" borderId="56" xfId="0" applyFont="1" applyFill="1" applyBorder="1" applyAlignment="1">
      <alignment horizontal="left" vertical="center" wrapText="1" indent="1"/>
    </xf>
    <xf numFmtId="0" fontId="13" fillId="0" borderId="0" xfId="0" applyFont="1" applyAlignment="1">
      <alignment vertical="center"/>
    </xf>
    <xf numFmtId="0" fontId="12" fillId="0" borderId="0" xfId="0" applyFont="1" applyAlignment="1">
      <alignment vertical="center"/>
    </xf>
    <xf numFmtId="0" fontId="11" fillId="3" borderId="3" xfId="0" applyFont="1" applyFill="1" applyBorder="1" applyAlignment="1">
      <alignment horizontal="left" vertical="center" wrapText="1" indent="1"/>
    </xf>
    <xf numFmtId="0" fontId="11" fillId="5" borderId="1" xfId="0" applyFont="1" applyFill="1" applyBorder="1" applyAlignment="1">
      <alignment horizontal="left" vertical="center" wrapText="1" indent="1"/>
    </xf>
    <xf numFmtId="0" fontId="11" fillId="3" borderId="12" xfId="0" applyFont="1" applyFill="1" applyBorder="1" applyAlignment="1">
      <alignment horizontal="left" vertical="center" wrapText="1" indent="1"/>
    </xf>
    <xf numFmtId="0" fontId="11" fillId="5" borderId="12" xfId="0" applyFont="1" applyFill="1" applyBorder="1" applyAlignment="1">
      <alignment horizontal="left" vertical="center" wrapText="1" indent="1"/>
    </xf>
    <xf numFmtId="0" fontId="11" fillId="3" borderId="57" xfId="0" applyFont="1" applyFill="1" applyBorder="1" applyAlignment="1">
      <alignment horizontal="left" vertical="center" wrapText="1" indent="1"/>
    </xf>
    <xf numFmtId="0" fontId="11" fillId="3" borderId="15" xfId="0" applyFont="1" applyFill="1" applyBorder="1" applyAlignment="1">
      <alignment horizontal="left" vertical="center" wrapText="1" indent="1"/>
    </xf>
    <xf numFmtId="0" fontId="11" fillId="3" borderId="13" xfId="0" applyFont="1" applyFill="1" applyBorder="1" applyAlignment="1">
      <alignment vertical="center" wrapText="1"/>
    </xf>
    <xf numFmtId="15" fontId="11" fillId="3" borderId="14" xfId="0" applyNumberFormat="1" applyFont="1" applyFill="1" applyBorder="1" applyAlignment="1">
      <alignment vertical="center" wrapText="1"/>
    </xf>
    <xf numFmtId="0" fontId="11" fillId="3" borderId="14" xfId="0" applyFont="1" applyFill="1" applyBorder="1" applyAlignment="1">
      <alignment vertical="center" wrapText="1"/>
    </xf>
    <xf numFmtId="0" fontId="11" fillId="3" borderId="15" xfId="0" applyFont="1" applyFill="1" applyBorder="1" applyAlignment="1">
      <alignment vertical="center" wrapText="1"/>
    </xf>
    <xf numFmtId="165" fontId="14" fillId="0" borderId="0" xfId="0" applyNumberFormat="1" applyFont="1" applyAlignment="1">
      <alignment horizontal="center" vertical="center" wrapText="1"/>
    </xf>
    <xf numFmtId="4" fontId="12" fillId="0" borderId="7" xfId="0" applyNumberFormat="1" applyFont="1" applyBorder="1" applyAlignment="1">
      <alignment horizontal="center" vertical="center" wrapText="1"/>
    </xf>
    <xf numFmtId="0" fontId="12" fillId="0" borderId="65" xfId="0" applyFont="1" applyBorder="1" applyAlignment="1">
      <alignment horizontal="center" vertical="center" wrapText="1"/>
    </xf>
    <xf numFmtId="0" fontId="11" fillId="3" borderId="48" xfId="0" applyFont="1" applyFill="1" applyBorder="1" applyAlignment="1">
      <alignment vertical="center" wrapText="1"/>
    </xf>
    <xf numFmtId="0" fontId="11" fillId="3" borderId="4" xfId="0" applyFont="1" applyFill="1" applyBorder="1" applyAlignment="1">
      <alignment vertical="center" wrapText="1"/>
    </xf>
    <xf numFmtId="0" fontId="11" fillId="3" borderId="16" xfId="0" applyFont="1" applyFill="1" applyBorder="1" applyAlignment="1">
      <alignment vertical="center" wrapText="1"/>
    </xf>
    <xf numFmtId="0" fontId="12" fillId="3" borderId="48" xfId="0" applyFont="1" applyFill="1" applyBorder="1" applyAlignment="1">
      <alignment vertical="center" wrapText="1"/>
    </xf>
    <xf numFmtId="0" fontId="12" fillId="3" borderId="4" xfId="0" applyFont="1" applyFill="1" applyBorder="1" applyAlignment="1">
      <alignment vertical="center" wrapText="1"/>
    </xf>
    <xf numFmtId="0" fontId="12" fillId="3" borderId="16" xfId="0" applyFont="1" applyFill="1" applyBorder="1" applyAlignment="1">
      <alignment vertical="center" wrapText="1"/>
    </xf>
    <xf numFmtId="0" fontId="12" fillId="3" borderId="49" xfId="0" applyFont="1" applyFill="1" applyBorder="1" applyAlignment="1">
      <alignment vertical="center" wrapText="1"/>
    </xf>
    <xf numFmtId="165" fontId="14" fillId="0" borderId="1" xfId="0" applyNumberFormat="1" applyFont="1" applyBorder="1" applyAlignment="1">
      <alignment horizontal="center" vertical="center" wrapText="1"/>
    </xf>
    <xf numFmtId="165" fontId="14" fillId="0" borderId="12" xfId="0" applyNumberFormat="1" applyFont="1" applyBorder="1" applyAlignment="1">
      <alignment horizontal="center" vertical="center" wrapText="1"/>
    </xf>
    <xf numFmtId="165" fontId="14" fillId="0" borderId="13" xfId="0" applyNumberFormat="1" applyFont="1" applyBorder="1" applyAlignment="1">
      <alignment horizontal="center" vertical="center" wrapText="1"/>
    </xf>
    <xf numFmtId="165" fontId="14" fillId="0" borderId="10" xfId="0" applyNumberFormat="1" applyFont="1" applyBorder="1" applyAlignment="1">
      <alignment horizontal="center" vertical="center" wrapText="1"/>
    </xf>
    <xf numFmtId="165" fontId="14" fillId="0" borderId="27" xfId="0" applyNumberFormat="1" applyFont="1" applyBorder="1" applyAlignment="1">
      <alignment horizontal="center" vertical="center" wrapText="1"/>
    </xf>
    <xf numFmtId="165" fontId="14" fillId="0" borderId="21" xfId="0" applyNumberFormat="1" applyFont="1" applyBorder="1" applyAlignment="1">
      <alignment horizontal="center" vertical="center" wrapText="1"/>
    </xf>
    <xf numFmtId="165" fontId="14" fillId="0" borderId="28" xfId="0" applyNumberFormat="1" applyFont="1" applyBorder="1" applyAlignment="1">
      <alignment horizontal="center" vertical="center" wrapText="1"/>
    </xf>
    <xf numFmtId="4" fontId="12" fillId="0" borderId="66" xfId="0" applyNumberFormat="1" applyFont="1" applyBorder="1" applyAlignment="1">
      <alignment horizontal="center" vertical="center" wrapText="1"/>
    </xf>
    <xf numFmtId="0" fontId="0" fillId="0" borderId="67" xfId="0" applyBorder="1"/>
    <xf numFmtId="15" fontId="0" fillId="0" borderId="69" xfId="0" applyNumberFormat="1" applyBorder="1"/>
    <xf numFmtId="0" fontId="0" fillId="0" borderId="69" xfId="0" applyBorder="1"/>
    <xf numFmtId="0" fontId="0" fillId="0" borderId="71" xfId="0" applyBorder="1"/>
    <xf numFmtId="15" fontId="0" fillId="0" borderId="1" xfId="0" applyNumberFormat="1" applyBorder="1"/>
    <xf numFmtId="1" fontId="14" fillId="0" borderId="0" xfId="0" applyNumberFormat="1" applyFont="1" applyAlignment="1">
      <alignment horizontal="center" vertical="center" wrapText="1"/>
    </xf>
    <xf numFmtId="4" fontId="14" fillId="0" borderId="0" xfId="0" applyNumberFormat="1" applyFont="1" applyAlignment="1">
      <alignment horizontal="center" vertical="center" wrapText="1"/>
    </xf>
    <xf numFmtId="2" fontId="0" fillId="0" borderId="69" xfId="0" applyNumberFormat="1" applyBorder="1"/>
    <xf numFmtId="1" fontId="14" fillId="0" borderId="1" xfId="0" applyNumberFormat="1" applyFont="1" applyBorder="1" applyAlignment="1">
      <alignment horizontal="center" vertical="center" wrapText="1"/>
    </xf>
    <xf numFmtId="4" fontId="14" fillId="0" borderId="1" xfId="0" applyNumberFormat="1" applyFont="1" applyBorder="1" applyAlignment="1">
      <alignment horizontal="center" vertical="center" wrapText="1"/>
    </xf>
    <xf numFmtId="15" fontId="0" fillId="0" borderId="43" xfId="0" applyNumberFormat="1" applyBorder="1"/>
    <xf numFmtId="1" fontId="14" fillId="0" borderId="43" xfId="0" applyNumberFormat="1" applyFont="1" applyBorder="1" applyAlignment="1">
      <alignment horizontal="center" vertical="center" wrapText="1"/>
    </xf>
    <xf numFmtId="4" fontId="14" fillId="0" borderId="43" xfId="0" applyNumberFormat="1" applyFont="1" applyBorder="1" applyAlignment="1">
      <alignment horizontal="center" vertical="center" wrapText="1"/>
    </xf>
    <xf numFmtId="4" fontId="14" fillId="0" borderId="44" xfId="0" applyNumberFormat="1" applyFont="1" applyBorder="1" applyAlignment="1">
      <alignment horizontal="center" vertical="center" wrapText="1"/>
    </xf>
    <xf numFmtId="1" fontId="14" fillId="0" borderId="11" xfId="0" applyNumberFormat="1" applyFont="1" applyBorder="1" applyAlignment="1">
      <alignment horizontal="center" vertical="center" wrapText="1"/>
    </xf>
    <xf numFmtId="4" fontId="14" fillId="0" borderId="12" xfId="0" applyNumberFormat="1" applyFont="1" applyBorder="1" applyAlignment="1">
      <alignment horizontal="center" vertical="center" wrapText="1"/>
    </xf>
    <xf numFmtId="15" fontId="0" fillId="0" borderId="14" xfId="0" applyNumberFormat="1" applyBorder="1"/>
    <xf numFmtId="1" fontId="14" fillId="0" borderId="14" xfId="0" applyNumberFormat="1" applyFont="1" applyBorder="1" applyAlignment="1">
      <alignment horizontal="center" vertical="center" wrapText="1"/>
    </xf>
    <xf numFmtId="4" fontId="14" fillId="0" borderId="14" xfId="0" applyNumberFormat="1" applyFont="1" applyBorder="1" applyAlignment="1">
      <alignment horizontal="center" vertical="center" wrapText="1"/>
    </xf>
    <xf numFmtId="4" fontId="14" fillId="0" borderId="15" xfId="0" applyNumberFormat="1" applyFont="1" applyBorder="1" applyAlignment="1">
      <alignment horizontal="center" vertical="center" wrapText="1"/>
    </xf>
    <xf numFmtId="166" fontId="14" fillId="0" borderId="21" xfId="0" applyNumberFormat="1" applyFont="1" applyBorder="1" applyAlignment="1">
      <alignment horizontal="center" vertical="center" wrapText="1"/>
    </xf>
    <xf numFmtId="166" fontId="14" fillId="0" borderId="1" xfId="0" applyNumberFormat="1" applyFont="1" applyBorder="1" applyAlignment="1">
      <alignment horizontal="center" vertical="center" wrapText="1"/>
    </xf>
    <xf numFmtId="1" fontId="14" fillId="0" borderId="21" xfId="0" applyNumberFormat="1" applyFont="1" applyBorder="1" applyAlignment="1">
      <alignment horizontal="center" vertical="center" wrapText="1"/>
    </xf>
    <xf numFmtId="165" fontId="14" fillId="0" borderId="50" xfId="0" applyNumberFormat="1" applyFont="1" applyBorder="1" applyAlignment="1">
      <alignment horizontal="center" vertical="center" wrapText="1"/>
    </xf>
    <xf numFmtId="166" fontId="14" fillId="0" borderId="51" xfId="0" applyNumberFormat="1" applyFont="1" applyBorder="1" applyAlignment="1">
      <alignment horizontal="center" vertical="center" wrapText="1"/>
    </xf>
    <xf numFmtId="1" fontId="14" fillId="0" borderId="51" xfId="0" applyNumberFormat="1" applyFont="1" applyBorder="1" applyAlignment="1">
      <alignment horizontal="center" vertical="center" wrapText="1"/>
    </xf>
    <xf numFmtId="165" fontId="14" fillId="0" borderId="51" xfId="0" applyNumberFormat="1" applyFont="1" applyBorder="1" applyAlignment="1">
      <alignment horizontal="center" vertical="center" wrapText="1"/>
    </xf>
    <xf numFmtId="165" fontId="14" fillId="0" borderId="52" xfId="0" applyNumberFormat="1" applyFont="1" applyBorder="1" applyAlignment="1">
      <alignment horizontal="center" vertical="center" wrapText="1"/>
    </xf>
    <xf numFmtId="0" fontId="14" fillId="3" borderId="29" xfId="0" applyFont="1" applyFill="1" applyBorder="1" applyAlignment="1">
      <alignment horizontal="center" vertical="center" wrapText="1"/>
    </xf>
    <xf numFmtId="164" fontId="14" fillId="3" borderId="20" xfId="0" applyNumberFormat="1" applyFont="1" applyFill="1" applyBorder="1" applyAlignment="1">
      <alignment horizontal="center" vertical="center" wrapText="1"/>
    </xf>
    <xf numFmtId="0" fontId="14" fillId="3" borderId="20" xfId="0" applyFont="1" applyFill="1" applyBorder="1" applyAlignment="1">
      <alignment horizontal="center" vertical="center" wrapText="1"/>
    </xf>
    <xf numFmtId="165" fontId="14" fillId="3" borderId="20" xfId="0" applyNumberFormat="1" applyFont="1" applyFill="1" applyBorder="1" applyAlignment="1">
      <alignment horizontal="center" vertical="center" wrapText="1"/>
    </xf>
    <xf numFmtId="165" fontId="14" fillId="3" borderId="25" xfId="0" applyNumberFormat="1" applyFont="1" applyFill="1" applyBorder="1" applyAlignment="1">
      <alignment horizontal="center" vertical="center" wrapText="1"/>
    </xf>
    <xf numFmtId="0" fontId="14" fillId="3" borderId="30" xfId="0" applyFont="1" applyFill="1" applyBorder="1" applyAlignment="1">
      <alignment horizontal="center" vertical="center" wrapText="1"/>
    </xf>
    <xf numFmtId="164" fontId="14" fillId="3" borderId="19" xfId="0" applyNumberFormat="1" applyFont="1" applyFill="1" applyBorder="1" applyAlignment="1">
      <alignment horizontal="center" vertical="center" wrapText="1"/>
    </xf>
    <xf numFmtId="0" fontId="14" fillId="3" borderId="19" xfId="0" applyFont="1" applyFill="1" applyBorder="1" applyAlignment="1">
      <alignment horizontal="center" vertical="center" wrapText="1"/>
    </xf>
    <xf numFmtId="165" fontId="14" fillId="3" borderId="19" xfId="0" applyNumberFormat="1" applyFont="1" applyFill="1" applyBorder="1" applyAlignment="1">
      <alignment horizontal="center" vertical="center" wrapText="1"/>
    </xf>
    <xf numFmtId="165" fontId="14" fillId="3" borderId="26" xfId="0" applyNumberFormat="1" applyFont="1" applyFill="1" applyBorder="1" applyAlignment="1">
      <alignment horizontal="center" vertical="center" wrapText="1"/>
    </xf>
    <xf numFmtId="0" fontId="14" fillId="3" borderId="31" xfId="0" applyFont="1" applyFill="1" applyBorder="1" applyAlignment="1">
      <alignment horizontal="center" vertical="center" wrapText="1"/>
    </xf>
    <xf numFmtId="164" fontId="14" fillId="3" borderId="32" xfId="0" applyNumberFormat="1" applyFont="1" applyFill="1" applyBorder="1" applyAlignment="1">
      <alignment horizontal="center" vertical="center" wrapText="1"/>
    </xf>
    <xf numFmtId="0" fontId="14" fillId="3" borderId="32" xfId="0" applyFont="1" applyFill="1" applyBorder="1" applyAlignment="1">
      <alignment horizontal="center" vertical="center" wrapText="1"/>
    </xf>
    <xf numFmtId="165" fontId="14" fillId="3" borderId="32" xfId="0" applyNumberFormat="1" applyFont="1" applyFill="1" applyBorder="1" applyAlignment="1">
      <alignment horizontal="center" vertical="center" wrapText="1"/>
    </xf>
    <xf numFmtId="165" fontId="14" fillId="3" borderId="33" xfId="0" applyNumberFormat="1" applyFont="1" applyFill="1" applyBorder="1" applyAlignment="1">
      <alignment horizontal="center" vertical="center" wrapText="1"/>
    </xf>
    <xf numFmtId="0" fontId="14" fillId="3" borderId="38" xfId="0" applyFont="1" applyFill="1" applyBorder="1" applyAlignment="1">
      <alignment horizontal="center" vertical="center" wrapText="1"/>
    </xf>
    <xf numFmtId="164" fontId="14" fillId="3" borderId="39" xfId="0" applyNumberFormat="1" applyFont="1" applyFill="1" applyBorder="1" applyAlignment="1">
      <alignment horizontal="center" vertical="center" wrapText="1"/>
    </xf>
    <xf numFmtId="0" fontId="14" fillId="3" borderId="39" xfId="0" applyFont="1" applyFill="1" applyBorder="1" applyAlignment="1">
      <alignment horizontal="center" vertical="center" wrapText="1"/>
    </xf>
    <xf numFmtId="165" fontId="14" fillId="3" borderId="39" xfId="0" applyNumberFormat="1" applyFont="1" applyFill="1" applyBorder="1" applyAlignment="1">
      <alignment horizontal="center" vertical="center" wrapText="1"/>
    </xf>
    <xf numFmtId="165" fontId="14" fillId="3" borderId="47" xfId="0" applyNumberFormat="1" applyFont="1" applyFill="1" applyBorder="1" applyAlignment="1">
      <alignment horizontal="center" vertical="center" wrapText="1"/>
    </xf>
    <xf numFmtId="15" fontId="0" fillId="0" borderId="0" xfId="0" applyNumberFormat="1" applyAlignment="1">
      <alignment wrapText="1"/>
    </xf>
    <xf numFmtId="4" fontId="0" fillId="0" borderId="0" xfId="0" applyNumberFormat="1" applyAlignment="1">
      <alignment wrapText="1"/>
    </xf>
    <xf numFmtId="0" fontId="0" fillId="0" borderId="67" xfId="0" applyBorder="1" applyAlignment="1">
      <alignment wrapText="1"/>
    </xf>
    <xf numFmtId="0" fontId="0" fillId="0" borderId="68" xfId="0" applyBorder="1" applyAlignment="1">
      <alignment wrapText="1"/>
    </xf>
    <xf numFmtId="15" fontId="0" fillId="0" borderId="69" xfId="0" applyNumberFormat="1" applyBorder="1" applyAlignment="1">
      <alignment wrapText="1"/>
    </xf>
    <xf numFmtId="0" fontId="0" fillId="0" borderId="0" xfId="0" applyAlignment="1">
      <alignment horizontal="center" vertical="center" wrapText="1"/>
    </xf>
    <xf numFmtId="0" fontId="0" fillId="0" borderId="69" xfId="0" applyBorder="1" applyAlignment="1">
      <alignment wrapText="1"/>
    </xf>
    <xf numFmtId="2" fontId="0" fillId="0" borderId="69" xfId="0" applyNumberFormat="1" applyBorder="1" applyAlignment="1">
      <alignment wrapText="1"/>
    </xf>
    <xf numFmtId="0" fontId="0" fillId="0" borderId="70" xfId="0" applyBorder="1" applyAlignment="1">
      <alignment wrapText="1"/>
    </xf>
    <xf numFmtId="0" fontId="0" fillId="0" borderId="71" xfId="0" applyBorder="1" applyAlignment="1">
      <alignment wrapText="1"/>
    </xf>
    <xf numFmtId="0" fontId="0" fillId="0" borderId="66" xfId="0" applyBorder="1" applyAlignment="1">
      <alignment wrapText="1"/>
    </xf>
    <xf numFmtId="0" fontId="2" fillId="0" borderId="1" xfId="0" applyFont="1" applyBorder="1" applyAlignment="1">
      <alignment wrapText="1"/>
    </xf>
    <xf numFmtId="0" fontId="9" fillId="0" borderId="1" xfId="0" applyFont="1" applyBorder="1" applyAlignment="1">
      <alignment wrapText="1"/>
    </xf>
    <xf numFmtId="0" fontId="9" fillId="0" borderId="1" xfId="0" applyFont="1" applyBorder="1"/>
    <xf numFmtId="0" fontId="0" fillId="0" borderId="10" xfId="0" applyBorder="1" applyAlignment="1">
      <alignment vertical="center" wrapText="1"/>
    </xf>
    <xf numFmtId="0" fontId="0" fillId="0" borderId="11" xfId="0" applyBorder="1" applyAlignment="1">
      <alignment vertical="center" wrapText="1"/>
    </xf>
    <xf numFmtId="0" fontId="0" fillId="0" borderId="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8" fillId="0" borderId="1" xfId="0" applyFont="1" applyBorder="1" applyAlignment="1">
      <alignment vertical="center" wrapText="1"/>
    </xf>
    <xf numFmtId="0" fontId="3" fillId="0" borderId="1" xfId="0" applyFont="1" applyBorder="1"/>
    <xf numFmtId="0" fontId="0" fillId="0" borderId="1" xfId="0" applyBorder="1" applyAlignment="1">
      <alignment wrapText="1"/>
    </xf>
    <xf numFmtId="0" fontId="0" fillId="0" borderId="1" xfId="0" applyBorder="1" applyAlignment="1">
      <alignment vertical="center"/>
    </xf>
    <xf numFmtId="0" fontId="2"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13" fillId="0" borderId="0" xfId="0" applyFont="1" applyAlignment="1">
      <alignment horizontal="center" vertical="center" wrapText="1"/>
    </xf>
    <xf numFmtId="167" fontId="0" fillId="0" borderId="69" xfId="0" applyNumberFormat="1" applyBorder="1"/>
    <xf numFmtId="15" fontId="11" fillId="3" borderId="37" xfId="0" applyNumberFormat="1" applyFont="1" applyFill="1" applyBorder="1" applyAlignment="1">
      <alignment horizontal="left" vertical="center" wrapText="1" indent="1"/>
    </xf>
    <xf numFmtId="0" fontId="11" fillId="5" borderId="37" xfId="0" applyFont="1" applyFill="1" applyBorder="1" applyAlignment="1">
      <alignment horizontal="left" vertical="center" wrapText="1" indent="1"/>
    </xf>
    <xf numFmtId="0" fontId="11" fillId="9" borderId="37" xfId="0" applyFont="1" applyFill="1" applyBorder="1" applyAlignment="1">
      <alignment horizontal="left" vertical="center" wrapText="1" indent="1"/>
    </xf>
    <xf numFmtId="0" fontId="15" fillId="3" borderId="37" xfId="0" applyFont="1" applyFill="1" applyBorder="1" applyAlignment="1">
      <alignment horizontal="left" vertical="center" wrapText="1" indent="1"/>
    </xf>
    <xf numFmtId="0" fontId="11" fillId="9" borderId="1" xfId="0" applyFont="1" applyFill="1" applyBorder="1" applyAlignment="1">
      <alignment horizontal="left" vertical="center" wrapText="1" indent="1"/>
    </xf>
    <xf numFmtId="2" fontId="11" fillId="5" borderId="1" xfId="0" applyNumberFormat="1" applyFont="1" applyFill="1" applyBorder="1" applyAlignment="1">
      <alignment horizontal="left" vertical="center" wrapText="1" indent="1"/>
    </xf>
    <xf numFmtId="4" fontId="12" fillId="3" borderId="43" xfId="0" applyNumberFormat="1" applyFont="1" applyFill="1" applyBorder="1" applyAlignment="1">
      <alignment vertical="center" wrapText="1"/>
    </xf>
    <xf numFmtId="4" fontId="12" fillId="3" borderId="51" xfId="0" applyNumberFormat="1" applyFont="1" applyFill="1" applyBorder="1" applyAlignment="1">
      <alignment vertical="center" wrapText="1"/>
    </xf>
    <xf numFmtId="0" fontId="0" fillId="0" borderId="0" xfId="0"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horizontal="center" vertical="center"/>
    </xf>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9" borderId="1" xfId="0" applyFont="1" applyFill="1" applyBorder="1" applyAlignment="1">
      <alignment vertical="center" wrapText="1"/>
    </xf>
    <xf numFmtId="0" fontId="2" fillId="9" borderId="1" xfId="0" applyFont="1" applyFill="1" applyBorder="1" applyAlignment="1">
      <alignmen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0" borderId="1" xfId="0" applyFont="1" applyBorder="1" applyAlignment="1">
      <alignment horizontal="left" vertical="center" wrapText="1"/>
    </xf>
    <xf numFmtId="9" fontId="2" fillId="0" borderId="1" xfId="0" applyNumberFormat="1" applyFont="1" applyBorder="1" applyAlignment="1">
      <alignment horizontal="left" vertical="center" wrapText="1"/>
    </xf>
    <xf numFmtId="10" fontId="2" fillId="0" borderId="1" xfId="0" applyNumberFormat="1" applyFont="1" applyBorder="1" applyAlignment="1">
      <alignment horizontal="left" vertical="center" wrapText="1"/>
    </xf>
    <xf numFmtId="0" fontId="16" fillId="0" borderId="0" xfId="0" applyFont="1" applyAlignment="1">
      <alignment vertical="center" wrapText="1"/>
    </xf>
    <xf numFmtId="0" fontId="0" fillId="0" borderId="1" xfId="0" applyFill="1" applyBorder="1" applyAlignment="1">
      <alignment vertical="center" wrapText="1"/>
    </xf>
    <xf numFmtId="49" fontId="2" fillId="0" borderId="0" xfId="0" applyNumberFormat="1" applyFont="1" applyAlignment="1">
      <alignment wrapText="1"/>
    </xf>
    <xf numFmtId="49" fontId="2" fillId="0" borderId="0" xfId="0" applyNumberFormat="1" applyFont="1"/>
    <xf numFmtId="0" fontId="1" fillId="2" borderId="1" xfId="0" applyFont="1" applyFill="1" applyBorder="1" applyAlignment="1">
      <alignment horizontal="center"/>
    </xf>
    <xf numFmtId="0" fontId="0" fillId="0" borderId="8" xfId="0" applyBorder="1" applyAlignment="1">
      <alignment horizontal="center" vertical="center"/>
    </xf>
    <xf numFmtId="0" fontId="0" fillId="5" borderId="1" xfId="0" applyFill="1" applyBorder="1" applyAlignment="1">
      <alignment horizontal="center" wrapText="1"/>
    </xf>
    <xf numFmtId="0" fontId="0" fillId="6" borderId="1" xfId="0" applyFill="1" applyBorder="1" applyAlignment="1">
      <alignment horizontal="center" wrapText="1"/>
    </xf>
    <xf numFmtId="0" fontId="0" fillId="7" borderId="1" xfId="0" applyFill="1" applyBorder="1" applyAlignment="1">
      <alignment horizont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6" xfId="0" applyFont="1" applyBorder="1" applyAlignment="1">
      <alignment horizontal="center" vertical="center" wrapText="1"/>
    </xf>
    <xf numFmtId="0" fontId="0" fillId="0" borderId="17" xfId="0" applyBorder="1" applyAlignment="1">
      <alignment horizontal="center" vertical="center" wrapText="1"/>
    </xf>
    <xf numFmtId="0" fontId="0" fillId="0" borderId="3" xfId="0" applyBorder="1" applyAlignment="1">
      <alignment horizontal="center" vertical="center" wrapText="1"/>
    </xf>
    <xf numFmtId="0" fontId="0" fillId="0" borderId="18" xfId="0" applyBorder="1" applyAlignment="1">
      <alignment horizontal="center" vertical="center" wrapText="1"/>
    </xf>
    <xf numFmtId="0" fontId="0" fillId="0" borderId="4" xfId="0" applyBorder="1" applyAlignment="1">
      <alignment horizontal="center" vertical="center" wrapText="1"/>
    </xf>
    <xf numFmtId="2" fontId="0" fillId="0" borderId="17" xfId="0" applyNumberFormat="1" applyBorder="1" applyAlignment="1">
      <alignment horizontal="center" vertical="center" wrapText="1"/>
    </xf>
    <xf numFmtId="2" fontId="0" fillId="0" borderId="3" xfId="0" applyNumberFormat="1" applyBorder="1" applyAlignment="1">
      <alignment horizontal="center" vertical="center" wrapText="1"/>
    </xf>
    <xf numFmtId="2" fontId="0" fillId="0" borderId="18" xfId="0" applyNumberFormat="1" applyBorder="1" applyAlignment="1">
      <alignment horizontal="center" vertical="center" wrapText="1"/>
    </xf>
    <xf numFmtId="0" fontId="7" fillId="8" borderId="0" xfId="0" applyFont="1" applyFill="1" applyAlignment="1">
      <alignment horizontal="center" vertical="center"/>
    </xf>
    <xf numFmtId="0" fontId="3" fillId="0" borderId="0" xfId="0" applyFont="1" applyAlignment="1">
      <alignment horizontal="center" vertical="center" wrapText="1"/>
    </xf>
    <xf numFmtId="0" fontId="8" fillId="8" borderId="0" xfId="0" applyFont="1" applyFill="1" applyAlignment="1">
      <alignment horizontal="center" vertical="center" wrapText="1"/>
    </xf>
    <xf numFmtId="0" fontId="8" fillId="8" borderId="0" xfId="0" applyFont="1" applyFill="1" applyAlignment="1">
      <alignment horizontal="center" wrapText="1"/>
    </xf>
    <xf numFmtId="0" fontId="8" fillId="8"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8" fillId="8" borderId="0" xfId="0" applyFont="1" applyFill="1" applyAlignment="1">
      <alignment horizontal="center" vertical="center"/>
    </xf>
    <xf numFmtId="0" fontId="8" fillId="8" borderId="0" xfId="0" applyFont="1" applyFill="1" applyAlignment="1">
      <alignment horizontal="center"/>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2" fillId="0" borderId="34" xfId="0" applyFont="1" applyBorder="1" applyAlignment="1">
      <alignment vertical="center" wrapText="1"/>
    </xf>
    <xf numFmtId="0" fontId="12" fillId="0" borderId="35" xfId="0" applyFont="1" applyBorder="1" applyAlignment="1">
      <alignment vertical="center" wrapText="1"/>
    </xf>
    <xf numFmtId="0" fontId="12" fillId="0" borderId="36" xfId="0" applyFont="1" applyBorder="1" applyAlignment="1">
      <alignment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C72"/>
  <sheetViews>
    <sheetView tabSelected="1" workbookViewId="0">
      <selection activeCell="E4" sqref="E4"/>
    </sheetView>
  </sheetViews>
  <sheetFormatPr defaultColWidth="8.75" defaultRowHeight="15"/>
  <cols>
    <col min="1" max="1" width="14.375" style="1" customWidth="1"/>
    <col min="2" max="2" width="31.125" style="2" customWidth="1"/>
    <col min="3" max="3" width="50.5" style="2" customWidth="1"/>
    <col min="4" max="16384" width="8.75" style="1"/>
  </cols>
  <sheetData>
    <row r="1" spans="1:3">
      <c r="A1" s="258" t="s">
        <v>0</v>
      </c>
      <c r="B1" s="258"/>
      <c r="C1" s="258"/>
    </row>
    <row r="2" spans="1:3">
      <c r="A2" s="5" t="s">
        <v>1</v>
      </c>
      <c r="B2" s="3" t="s">
        <v>2</v>
      </c>
      <c r="C2" s="3" t="s">
        <v>3</v>
      </c>
    </row>
    <row r="3" spans="1:3" ht="30">
      <c r="A3" s="4" t="s">
        <v>8</v>
      </c>
      <c r="B3" s="215" t="s">
        <v>17</v>
      </c>
      <c r="C3" s="215" t="s">
        <v>25</v>
      </c>
    </row>
    <row r="4" spans="1:3" ht="30">
      <c r="A4" s="4" t="s">
        <v>9</v>
      </c>
      <c r="B4" s="215" t="s">
        <v>85</v>
      </c>
      <c r="C4" s="215" t="s">
        <v>86</v>
      </c>
    </row>
    <row r="5" spans="1:3" ht="30">
      <c r="A5" s="4" t="s">
        <v>10</v>
      </c>
      <c r="B5" s="215" t="s">
        <v>87</v>
      </c>
      <c r="C5" s="215" t="s">
        <v>88</v>
      </c>
    </row>
    <row r="6" spans="1:3" ht="45">
      <c r="A6" s="4" t="s">
        <v>11</v>
      </c>
      <c r="B6" s="215" t="s">
        <v>89</v>
      </c>
      <c r="C6" s="215" t="s">
        <v>152</v>
      </c>
    </row>
    <row r="7" spans="1:3" ht="30">
      <c r="A7" s="4" t="s">
        <v>12</v>
      </c>
      <c r="B7" s="215" t="s">
        <v>18</v>
      </c>
      <c r="C7" s="215" t="s">
        <v>26</v>
      </c>
    </row>
    <row r="8" spans="1:3" ht="30">
      <c r="A8" s="4" t="s">
        <v>13</v>
      </c>
      <c r="B8" s="215" t="s">
        <v>19</v>
      </c>
      <c r="C8" s="215" t="s">
        <v>90</v>
      </c>
    </row>
    <row r="9" spans="1:3" ht="30">
      <c r="A9" s="4" t="s">
        <v>14</v>
      </c>
      <c r="B9" s="215" t="s">
        <v>20</v>
      </c>
      <c r="C9" s="215" t="s">
        <v>27</v>
      </c>
    </row>
    <row r="10" spans="1:3" ht="30">
      <c r="A10" s="4" t="s">
        <v>15</v>
      </c>
      <c r="B10" s="215" t="s">
        <v>91</v>
      </c>
      <c r="C10" s="215" t="s">
        <v>92</v>
      </c>
    </row>
    <row r="11" spans="1:3" ht="45">
      <c r="A11" s="4" t="s">
        <v>16</v>
      </c>
      <c r="B11" s="215" t="s">
        <v>21</v>
      </c>
      <c r="C11" s="215" t="s">
        <v>155</v>
      </c>
    </row>
    <row r="12" spans="1:3" ht="30">
      <c r="A12" s="4" t="s">
        <v>93</v>
      </c>
      <c r="B12" s="215" t="s">
        <v>4</v>
      </c>
      <c r="C12" s="215" t="s">
        <v>28</v>
      </c>
    </row>
    <row r="13" spans="1:3">
      <c r="A13" s="4" t="s">
        <v>94</v>
      </c>
      <c r="B13" s="215" t="s">
        <v>22</v>
      </c>
      <c r="C13" s="215" t="s">
        <v>29</v>
      </c>
    </row>
    <row r="14" spans="1:3" ht="30">
      <c r="A14" s="4" t="s">
        <v>95</v>
      </c>
      <c r="B14" s="215" t="s">
        <v>23</v>
      </c>
      <c r="C14" s="215" t="s">
        <v>30</v>
      </c>
    </row>
    <row r="15" spans="1:3" ht="30">
      <c r="A15" s="4" t="s">
        <v>96</v>
      </c>
      <c r="B15" s="215" t="s">
        <v>24</v>
      </c>
      <c r="C15" s="215" t="s">
        <v>97</v>
      </c>
    </row>
    <row r="16" spans="1:3">
      <c r="A16" s="4" t="s">
        <v>98</v>
      </c>
      <c r="B16" s="215" t="s">
        <v>79</v>
      </c>
      <c r="C16" s="215" t="s">
        <v>99</v>
      </c>
    </row>
    <row r="17" spans="1:3" ht="45">
      <c r="A17" s="4" t="s">
        <v>100</v>
      </c>
      <c r="B17" s="215" t="s">
        <v>80</v>
      </c>
      <c r="C17" s="215" t="s">
        <v>101</v>
      </c>
    </row>
    <row r="18" spans="1:3">
      <c r="A18" s="4" t="s">
        <v>102</v>
      </c>
      <c r="B18" s="215" t="s">
        <v>103</v>
      </c>
      <c r="C18" s="215" t="s">
        <v>104</v>
      </c>
    </row>
    <row r="19" spans="1:3" ht="45">
      <c r="A19" s="4" t="s">
        <v>105</v>
      </c>
      <c r="B19" s="215" t="s">
        <v>106</v>
      </c>
      <c r="C19" s="215" t="s">
        <v>107</v>
      </c>
    </row>
    <row r="21" spans="1:3">
      <c r="A21" s="258" t="s">
        <v>81</v>
      </c>
      <c r="B21" s="258"/>
      <c r="C21" s="258"/>
    </row>
    <row r="22" spans="1:3">
      <c r="A22" s="5" t="s">
        <v>1</v>
      </c>
      <c r="B22" s="3" t="s">
        <v>2</v>
      </c>
      <c r="C22" s="3" t="s">
        <v>3</v>
      </c>
    </row>
    <row r="23" spans="1:3" ht="30">
      <c r="A23" s="4" t="s">
        <v>31</v>
      </c>
      <c r="B23" s="215" t="s">
        <v>108</v>
      </c>
      <c r="C23" s="215" t="s">
        <v>109</v>
      </c>
    </row>
    <row r="24" spans="1:3">
      <c r="A24" s="4" t="s">
        <v>32</v>
      </c>
      <c r="B24" s="215" t="s">
        <v>110</v>
      </c>
      <c r="C24" s="215" t="s">
        <v>111</v>
      </c>
    </row>
    <row r="25" spans="1:3">
      <c r="A25" s="4" t="s">
        <v>33</v>
      </c>
      <c r="B25" s="215" t="s">
        <v>38</v>
      </c>
      <c r="C25" s="215" t="s">
        <v>44</v>
      </c>
    </row>
    <row r="26" spans="1:3">
      <c r="A26" s="4" t="s">
        <v>34</v>
      </c>
      <c r="B26" s="215" t="s">
        <v>112</v>
      </c>
      <c r="C26" s="215" t="s">
        <v>113</v>
      </c>
    </row>
    <row r="27" spans="1:3">
      <c r="A27" s="4" t="s">
        <v>35</v>
      </c>
      <c r="B27" s="215" t="s">
        <v>39</v>
      </c>
      <c r="C27" s="215" t="s">
        <v>45</v>
      </c>
    </row>
    <row r="28" spans="1:3">
      <c r="A28" s="4" t="s">
        <v>36</v>
      </c>
      <c r="B28" s="215" t="s">
        <v>40</v>
      </c>
      <c r="C28" s="215" t="s">
        <v>46</v>
      </c>
    </row>
    <row r="29" spans="1:3">
      <c r="A29" s="4" t="s">
        <v>37</v>
      </c>
      <c r="B29" s="215" t="s">
        <v>41</v>
      </c>
      <c r="C29" s="215" t="s">
        <v>47</v>
      </c>
    </row>
    <row r="30" spans="1:3" ht="30">
      <c r="A30" s="4" t="s">
        <v>114</v>
      </c>
      <c r="B30" s="215" t="s">
        <v>42</v>
      </c>
      <c r="C30" s="215" t="s">
        <v>157</v>
      </c>
    </row>
    <row r="31" spans="1:3">
      <c r="A31" s="4" t="s">
        <v>115</v>
      </c>
      <c r="B31" s="215" t="s">
        <v>43</v>
      </c>
      <c r="C31" s="215" t="s">
        <v>48</v>
      </c>
    </row>
    <row r="32" spans="1:3" ht="30">
      <c r="A32" s="4" t="s">
        <v>116</v>
      </c>
      <c r="B32" s="215" t="s">
        <v>23</v>
      </c>
      <c r="C32" s="215" t="s">
        <v>153</v>
      </c>
    </row>
    <row r="34" spans="1:3">
      <c r="A34" s="258" t="s">
        <v>82</v>
      </c>
      <c r="B34" s="258"/>
      <c r="C34" s="258"/>
    </row>
    <row r="35" spans="1:3">
      <c r="A35" s="5" t="s">
        <v>1</v>
      </c>
      <c r="B35" s="3" t="s">
        <v>2</v>
      </c>
      <c r="C35" s="3" t="s">
        <v>3</v>
      </c>
    </row>
    <row r="36" spans="1:3" ht="30">
      <c r="A36" s="4" t="s">
        <v>49</v>
      </c>
      <c r="B36" s="215" t="s">
        <v>55</v>
      </c>
      <c r="C36" s="215" t="s">
        <v>156</v>
      </c>
    </row>
    <row r="37" spans="1:3">
      <c r="A37" s="4" t="s">
        <v>50</v>
      </c>
      <c r="B37" s="215" t="s">
        <v>5</v>
      </c>
      <c r="C37" s="215" t="s">
        <v>58</v>
      </c>
    </row>
    <row r="38" spans="1:3">
      <c r="A38" s="4" t="s">
        <v>51</v>
      </c>
      <c r="B38" s="215" t="s">
        <v>6</v>
      </c>
      <c r="C38" s="215" t="s">
        <v>59</v>
      </c>
    </row>
    <row r="39" spans="1:3">
      <c r="A39" s="4" t="s">
        <v>52</v>
      </c>
      <c r="B39" s="215" t="s">
        <v>7</v>
      </c>
      <c r="C39" s="215" t="s">
        <v>60</v>
      </c>
    </row>
    <row r="40" spans="1:3">
      <c r="A40" s="4" t="s">
        <v>53</v>
      </c>
      <c r="B40" s="215" t="s">
        <v>56</v>
      </c>
      <c r="C40" s="215" t="s">
        <v>61</v>
      </c>
    </row>
    <row r="41" spans="1:3">
      <c r="A41" s="4" t="s">
        <v>54</v>
      </c>
      <c r="B41" s="215" t="s">
        <v>57</v>
      </c>
      <c r="C41" s="215" t="s">
        <v>117</v>
      </c>
    </row>
    <row r="42" spans="1:3">
      <c r="A42" s="4" t="s">
        <v>118</v>
      </c>
      <c r="B42" s="215" t="s">
        <v>119</v>
      </c>
      <c r="C42" s="215" t="s">
        <v>120</v>
      </c>
    </row>
    <row r="43" spans="1:3" ht="30">
      <c r="A43" s="4" t="s">
        <v>121</v>
      </c>
      <c r="B43" s="215" t="s">
        <v>122</v>
      </c>
      <c r="C43" s="215" t="s">
        <v>123</v>
      </c>
    </row>
    <row r="44" spans="1:3" ht="30">
      <c r="A44" s="4" t="s">
        <v>124</v>
      </c>
      <c r="B44" s="215" t="s">
        <v>125</v>
      </c>
      <c r="C44" s="215" t="s">
        <v>126</v>
      </c>
    </row>
    <row r="46" spans="1:3">
      <c r="A46" s="258" t="s">
        <v>83</v>
      </c>
      <c r="B46" s="258"/>
    </row>
    <row r="47" spans="1:3">
      <c r="A47" s="5" t="s">
        <v>1</v>
      </c>
      <c r="B47" s="3" t="s">
        <v>3</v>
      </c>
    </row>
    <row r="48" spans="1:3">
      <c r="A48" s="4" t="s">
        <v>62</v>
      </c>
      <c r="B48" s="215" t="s">
        <v>127</v>
      </c>
    </row>
    <row r="49" spans="1:2">
      <c r="A49" s="4" t="s">
        <v>63</v>
      </c>
      <c r="B49" s="215" t="s">
        <v>68</v>
      </c>
    </row>
    <row r="50" spans="1:2" ht="30">
      <c r="A50" s="4" t="s">
        <v>64</v>
      </c>
      <c r="B50" s="215" t="s">
        <v>128</v>
      </c>
    </row>
    <row r="51" spans="1:2">
      <c r="A51" s="4" t="s">
        <v>65</v>
      </c>
      <c r="B51" s="215" t="s">
        <v>69</v>
      </c>
    </row>
    <row r="52" spans="1:2" ht="30">
      <c r="A52" s="4" t="s">
        <v>66</v>
      </c>
      <c r="B52" s="215" t="s">
        <v>129</v>
      </c>
    </row>
    <row r="53" spans="1:2">
      <c r="A53" s="4" t="s">
        <v>67</v>
      </c>
      <c r="B53" s="215" t="s">
        <v>70</v>
      </c>
    </row>
    <row r="54" spans="1:2">
      <c r="A54" s="4" t="s">
        <v>130</v>
      </c>
      <c r="B54" s="215" t="s">
        <v>131</v>
      </c>
    </row>
    <row r="55" spans="1:2">
      <c r="A55" s="4" t="s">
        <v>132</v>
      </c>
      <c r="B55" s="215" t="s">
        <v>73</v>
      </c>
    </row>
    <row r="56" spans="1:2">
      <c r="A56" s="4" t="s">
        <v>133</v>
      </c>
      <c r="B56" s="215" t="s">
        <v>71</v>
      </c>
    </row>
    <row r="57" spans="1:2">
      <c r="A57" s="4" t="s">
        <v>134</v>
      </c>
      <c r="B57" s="215" t="s">
        <v>72</v>
      </c>
    </row>
    <row r="58" spans="1:2" ht="45">
      <c r="A58" s="4" t="s">
        <v>135</v>
      </c>
      <c r="B58" s="215" t="s">
        <v>136</v>
      </c>
    </row>
    <row r="59" spans="1:2" ht="30">
      <c r="A59" s="4" t="s">
        <v>137</v>
      </c>
      <c r="B59" s="215" t="s">
        <v>138</v>
      </c>
    </row>
    <row r="61" spans="1:2">
      <c r="A61" s="258" t="s">
        <v>84</v>
      </c>
      <c r="B61" s="258"/>
    </row>
    <row r="62" spans="1:2">
      <c r="A62" s="5" t="s">
        <v>1</v>
      </c>
      <c r="B62" s="3" t="s">
        <v>3</v>
      </c>
    </row>
    <row r="63" spans="1:2" ht="30">
      <c r="A63" s="4" t="s">
        <v>74</v>
      </c>
      <c r="B63" s="215" t="s">
        <v>77</v>
      </c>
    </row>
    <row r="64" spans="1:2" ht="45">
      <c r="A64" s="4" t="s">
        <v>75</v>
      </c>
      <c r="B64" s="215" t="s">
        <v>139</v>
      </c>
    </row>
    <row r="65" spans="1:2" ht="30">
      <c r="A65" s="4" t="s">
        <v>76</v>
      </c>
      <c r="B65" s="215" t="s">
        <v>78</v>
      </c>
    </row>
    <row r="66" spans="1:2" ht="45">
      <c r="A66" s="4" t="s">
        <v>140</v>
      </c>
      <c r="B66" s="215" t="s">
        <v>154</v>
      </c>
    </row>
    <row r="67" spans="1:2" ht="30">
      <c r="A67" s="4" t="s">
        <v>141</v>
      </c>
      <c r="B67" s="215" t="s">
        <v>142</v>
      </c>
    </row>
    <row r="68" spans="1:2" ht="30">
      <c r="A68" s="4" t="s">
        <v>143</v>
      </c>
      <c r="B68" s="215" t="s">
        <v>144</v>
      </c>
    </row>
    <row r="69" spans="1:2" ht="30">
      <c r="A69" s="4" t="s">
        <v>145</v>
      </c>
      <c r="B69" s="215" t="s">
        <v>146</v>
      </c>
    </row>
    <row r="70" spans="1:2" ht="75">
      <c r="A70" s="4" t="s">
        <v>147</v>
      </c>
      <c r="B70" s="215" t="s">
        <v>148</v>
      </c>
    </row>
    <row r="71" spans="1:2" ht="30">
      <c r="A71" s="4" t="s">
        <v>149</v>
      </c>
      <c r="B71" s="215" t="s">
        <v>150</v>
      </c>
    </row>
    <row r="72" spans="1:2" ht="45">
      <c r="A72" s="4" t="s">
        <v>151</v>
      </c>
      <c r="B72" s="215" t="s">
        <v>158</v>
      </c>
    </row>
  </sheetData>
  <mergeCells count="5">
    <mergeCell ref="A1:C1"/>
    <mergeCell ref="A21:C21"/>
    <mergeCell ref="A34:C34"/>
    <mergeCell ref="A46:B46"/>
    <mergeCell ref="A61:B61"/>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G34"/>
  <sheetViews>
    <sheetView zoomScaleNormal="100" workbookViewId="0">
      <selection activeCell="D3" sqref="D3"/>
    </sheetView>
  </sheetViews>
  <sheetFormatPr defaultRowHeight="14.25"/>
  <cols>
    <col min="1" max="1" width="12.75" style="10" bestFit="1" customWidth="1"/>
    <col min="2" max="2" width="19" style="10" bestFit="1" customWidth="1"/>
    <col min="3" max="3" width="24.375" style="10" customWidth="1"/>
    <col min="4" max="4" width="44.875" style="10" customWidth="1"/>
    <col min="5" max="5" width="24" style="10" customWidth="1"/>
    <col min="6" max="6" width="15.625" style="209" customWidth="1"/>
    <col min="7" max="7" width="8.125" style="56" bestFit="1" customWidth="1"/>
  </cols>
  <sheetData>
    <row r="1" spans="1:7">
      <c r="A1" s="102" t="s">
        <v>1164</v>
      </c>
      <c r="B1" s="102" t="s">
        <v>1177</v>
      </c>
      <c r="C1" s="102" t="s">
        <v>1178</v>
      </c>
      <c r="D1" s="102" t="s">
        <v>1165</v>
      </c>
      <c r="E1" s="102" t="s">
        <v>1166</v>
      </c>
      <c r="F1" s="102" t="s">
        <v>1176</v>
      </c>
      <c r="G1" s="102" t="s">
        <v>1217</v>
      </c>
    </row>
    <row r="2" spans="1:7" ht="150">
      <c r="A2" s="244" t="s">
        <v>1229</v>
      </c>
      <c r="B2" s="245" t="s">
        <v>1179</v>
      </c>
      <c r="C2" s="245" t="s">
        <v>1180</v>
      </c>
      <c r="D2" s="245" t="s">
        <v>1254</v>
      </c>
      <c r="E2" s="245" t="s">
        <v>1181</v>
      </c>
      <c r="F2" s="246" t="s">
        <v>895</v>
      </c>
      <c r="G2" s="243" t="s">
        <v>896</v>
      </c>
    </row>
    <row r="3" spans="1:7" ht="45">
      <c r="A3" s="244" t="s">
        <v>1230</v>
      </c>
      <c r="B3" s="245" t="s">
        <v>1179</v>
      </c>
      <c r="C3" s="245" t="s">
        <v>1182</v>
      </c>
      <c r="D3" s="245" t="s">
        <v>1183</v>
      </c>
      <c r="E3" s="245" t="s">
        <v>1184</v>
      </c>
      <c r="F3" s="246" t="s">
        <v>895</v>
      </c>
      <c r="G3" s="243" t="s">
        <v>896</v>
      </c>
    </row>
    <row r="4" spans="1:7" ht="60">
      <c r="A4" s="244" t="s">
        <v>1231</v>
      </c>
      <c r="B4" s="245" t="s">
        <v>1179</v>
      </c>
      <c r="C4" s="245" t="s">
        <v>1185</v>
      </c>
      <c r="D4" s="245" t="s">
        <v>1186</v>
      </c>
      <c r="E4" s="245" t="s">
        <v>1187</v>
      </c>
      <c r="F4" s="246" t="s">
        <v>895</v>
      </c>
      <c r="G4" s="243" t="s">
        <v>896</v>
      </c>
    </row>
    <row r="5" spans="1:7" ht="45">
      <c r="A5" s="244" t="s">
        <v>1232</v>
      </c>
      <c r="B5" s="245" t="s">
        <v>1188</v>
      </c>
      <c r="C5" s="245" t="s">
        <v>1255</v>
      </c>
      <c r="D5" s="245" t="s">
        <v>1189</v>
      </c>
      <c r="E5" s="245" t="s">
        <v>1190</v>
      </c>
      <c r="F5" s="246" t="s">
        <v>895</v>
      </c>
      <c r="G5" s="243" t="s">
        <v>896</v>
      </c>
    </row>
    <row r="6" spans="1:7" ht="60">
      <c r="A6" s="247" t="s">
        <v>1233</v>
      </c>
      <c r="B6" s="248" t="s">
        <v>1188</v>
      </c>
      <c r="C6" s="248" t="s">
        <v>1256</v>
      </c>
      <c r="D6" s="248" t="s">
        <v>1191</v>
      </c>
      <c r="E6" s="248" t="s">
        <v>1192</v>
      </c>
      <c r="F6" s="249" t="s">
        <v>1290</v>
      </c>
      <c r="G6" s="250" t="s">
        <v>897</v>
      </c>
    </row>
    <row r="7" spans="1:7" ht="45">
      <c r="A7" s="244" t="s">
        <v>1234</v>
      </c>
      <c r="B7" s="245" t="s">
        <v>1193</v>
      </c>
      <c r="C7" s="245" t="s">
        <v>1194</v>
      </c>
      <c r="D7" s="245" t="s">
        <v>1220</v>
      </c>
      <c r="E7" s="245" t="s">
        <v>64</v>
      </c>
      <c r="F7" s="246" t="s">
        <v>895</v>
      </c>
      <c r="G7" s="243" t="s">
        <v>896</v>
      </c>
    </row>
    <row r="8" spans="1:7" ht="15">
      <c r="A8" s="244" t="s">
        <v>1235</v>
      </c>
      <c r="B8" s="245" t="s">
        <v>1188</v>
      </c>
      <c r="C8" s="245" t="s">
        <v>1257</v>
      </c>
      <c r="D8" s="245" t="s">
        <v>1195</v>
      </c>
      <c r="E8" s="245" t="s">
        <v>65</v>
      </c>
      <c r="F8" s="246" t="s">
        <v>895</v>
      </c>
      <c r="G8" s="243" t="s">
        <v>896</v>
      </c>
    </row>
    <row r="9" spans="1:7" ht="15">
      <c r="A9" s="244" t="s">
        <v>1236</v>
      </c>
      <c r="B9" s="245" t="s">
        <v>1188</v>
      </c>
      <c r="C9" s="245" t="s">
        <v>1258</v>
      </c>
      <c r="D9" s="245" t="s">
        <v>1196</v>
      </c>
      <c r="E9" s="245" t="s">
        <v>65</v>
      </c>
      <c r="F9" s="246" t="s">
        <v>895</v>
      </c>
      <c r="G9" s="243" t="s">
        <v>896</v>
      </c>
    </row>
    <row r="10" spans="1:7" ht="45">
      <c r="A10" s="244" t="s">
        <v>1237</v>
      </c>
      <c r="B10" s="245" t="s">
        <v>1188</v>
      </c>
      <c r="C10" s="245" t="s">
        <v>1259</v>
      </c>
      <c r="D10" s="245" t="s">
        <v>1197</v>
      </c>
      <c r="E10" s="245" t="s">
        <v>1198</v>
      </c>
      <c r="F10" s="246" t="s">
        <v>895</v>
      </c>
      <c r="G10" s="243" t="s">
        <v>896</v>
      </c>
    </row>
    <row r="11" spans="1:7" ht="45">
      <c r="A11" s="244" t="s">
        <v>1238</v>
      </c>
      <c r="B11" s="245" t="s">
        <v>1188</v>
      </c>
      <c r="C11" s="245" t="s">
        <v>1224</v>
      </c>
      <c r="D11" s="245" t="s">
        <v>1225</v>
      </c>
      <c r="E11" s="245" t="s">
        <v>1199</v>
      </c>
      <c r="F11" s="246" t="s">
        <v>895</v>
      </c>
      <c r="G11" s="243" t="s">
        <v>896</v>
      </c>
    </row>
    <row r="12" spans="1:7" ht="45">
      <c r="A12" s="244" t="s">
        <v>1239</v>
      </c>
      <c r="B12" s="245" t="s">
        <v>1193</v>
      </c>
      <c r="C12" s="245" t="s">
        <v>1200</v>
      </c>
      <c r="D12" s="245" t="s">
        <v>1221</v>
      </c>
      <c r="E12" s="245" t="s">
        <v>66</v>
      </c>
      <c r="F12" s="246" t="s">
        <v>895</v>
      </c>
      <c r="G12" s="243" t="s">
        <v>896</v>
      </c>
    </row>
    <row r="13" spans="1:7" ht="15">
      <c r="A13" s="244" t="s">
        <v>1240</v>
      </c>
      <c r="B13" s="245" t="s">
        <v>1188</v>
      </c>
      <c r="C13" s="245" t="s">
        <v>1260</v>
      </c>
      <c r="D13" s="245" t="s">
        <v>1196</v>
      </c>
      <c r="E13" s="245" t="s">
        <v>67</v>
      </c>
      <c r="F13" s="246" t="s">
        <v>895</v>
      </c>
      <c r="G13" s="243" t="s">
        <v>896</v>
      </c>
    </row>
    <row r="14" spans="1:7" ht="15">
      <c r="A14" s="244" t="s">
        <v>1241</v>
      </c>
      <c r="B14" s="245" t="s">
        <v>1188</v>
      </c>
      <c r="C14" s="245" t="s">
        <v>1261</v>
      </c>
      <c r="D14" s="245" t="s">
        <v>1219</v>
      </c>
      <c r="E14" s="245" t="s">
        <v>67</v>
      </c>
      <c r="F14" s="246" t="s">
        <v>895</v>
      </c>
      <c r="G14" s="243" t="s">
        <v>896</v>
      </c>
    </row>
    <row r="15" spans="1:7" ht="30">
      <c r="A15" s="244" t="s">
        <v>1242</v>
      </c>
      <c r="B15" s="245" t="s">
        <v>1193</v>
      </c>
      <c r="C15" s="245" t="s">
        <v>1167</v>
      </c>
      <c r="D15" s="245" t="s">
        <v>1222</v>
      </c>
      <c r="E15" s="245" t="s">
        <v>62</v>
      </c>
      <c r="F15" s="246" t="s">
        <v>895</v>
      </c>
      <c r="G15" s="243" t="s">
        <v>896</v>
      </c>
    </row>
    <row r="16" spans="1:7" ht="15">
      <c r="A16" s="244" t="s">
        <v>1243</v>
      </c>
      <c r="B16" s="245" t="s">
        <v>1188</v>
      </c>
      <c r="C16" s="245" t="s">
        <v>1262</v>
      </c>
      <c r="D16" s="245" t="s">
        <v>1201</v>
      </c>
      <c r="E16" s="245" t="s">
        <v>63</v>
      </c>
      <c r="F16" s="246" t="s">
        <v>895</v>
      </c>
      <c r="G16" s="243" t="s">
        <v>896</v>
      </c>
    </row>
    <row r="17" spans="1:7" ht="30">
      <c r="A17" s="244" t="s">
        <v>1244</v>
      </c>
      <c r="B17" s="245" t="s">
        <v>1193</v>
      </c>
      <c r="C17" s="245" t="s">
        <v>1202</v>
      </c>
      <c r="D17" s="245" t="s">
        <v>1223</v>
      </c>
      <c r="E17" s="245" t="s">
        <v>130</v>
      </c>
      <c r="F17" s="246" t="s">
        <v>895</v>
      </c>
      <c r="G17" s="243" t="s">
        <v>896</v>
      </c>
    </row>
    <row r="18" spans="1:7" ht="15">
      <c r="A18" s="244" t="s">
        <v>1245</v>
      </c>
      <c r="B18" s="245" t="s">
        <v>1188</v>
      </c>
      <c r="C18" s="245" t="s">
        <v>1263</v>
      </c>
      <c r="D18" s="245" t="s">
        <v>1203</v>
      </c>
      <c r="E18" s="245" t="s">
        <v>132</v>
      </c>
      <c r="F18" s="246" t="s">
        <v>895</v>
      </c>
      <c r="G18" s="243" t="s">
        <v>896</v>
      </c>
    </row>
    <row r="19" spans="1:7" ht="75">
      <c r="A19" s="247" t="s">
        <v>1246</v>
      </c>
      <c r="B19" s="248" t="s">
        <v>1188</v>
      </c>
      <c r="C19" s="248" t="s">
        <v>1264</v>
      </c>
      <c r="D19" s="248" t="s">
        <v>1204</v>
      </c>
      <c r="E19" s="248" t="s">
        <v>133</v>
      </c>
      <c r="F19" s="249" t="s">
        <v>1266</v>
      </c>
      <c r="G19" s="250" t="s">
        <v>897</v>
      </c>
    </row>
    <row r="20" spans="1:7" ht="15">
      <c r="A20" s="244" t="s">
        <v>1247</v>
      </c>
      <c r="B20" s="245" t="s">
        <v>1188</v>
      </c>
      <c r="C20" s="245" t="s">
        <v>1265</v>
      </c>
      <c r="D20" s="245" t="s">
        <v>1205</v>
      </c>
      <c r="E20" s="245" t="s">
        <v>134</v>
      </c>
      <c r="F20" s="246" t="s">
        <v>895</v>
      </c>
      <c r="G20" s="243" t="s">
        <v>896</v>
      </c>
    </row>
    <row r="21" spans="1:7" ht="45">
      <c r="A21" s="244" t="s">
        <v>1248</v>
      </c>
      <c r="B21" s="245" t="s">
        <v>1179</v>
      </c>
      <c r="C21" s="245" t="s">
        <v>1206</v>
      </c>
      <c r="D21" s="245" t="s">
        <v>1207</v>
      </c>
      <c r="E21" s="245" t="s">
        <v>137</v>
      </c>
      <c r="F21" s="246" t="s">
        <v>895</v>
      </c>
      <c r="G21" s="243" t="s">
        <v>896</v>
      </c>
    </row>
    <row r="22" spans="1:7" ht="42.75">
      <c r="A22" s="244" t="s">
        <v>1249</v>
      </c>
      <c r="B22" s="245" t="s">
        <v>1193</v>
      </c>
      <c r="C22" s="245" t="s">
        <v>1253</v>
      </c>
      <c r="D22" s="245" t="s">
        <v>1208</v>
      </c>
      <c r="E22" s="245" t="s">
        <v>1267</v>
      </c>
      <c r="F22" s="246" t="s">
        <v>895</v>
      </c>
      <c r="G22" s="243" t="s">
        <v>896</v>
      </c>
    </row>
    <row r="23" spans="1:7" ht="60">
      <c r="A23" s="244" t="s">
        <v>1250</v>
      </c>
      <c r="B23" s="245" t="s">
        <v>1179</v>
      </c>
      <c r="C23" s="245" t="s">
        <v>1226</v>
      </c>
      <c r="D23" s="245" t="s">
        <v>1209</v>
      </c>
      <c r="E23" s="245" t="s">
        <v>1210</v>
      </c>
      <c r="F23" s="246" t="s">
        <v>895</v>
      </c>
      <c r="G23" s="243" t="s">
        <v>896</v>
      </c>
    </row>
    <row r="24" spans="1:7" ht="30">
      <c r="A24" s="244" t="s">
        <v>1251</v>
      </c>
      <c r="B24" s="245" t="s">
        <v>1179</v>
      </c>
      <c r="C24" s="245" t="s">
        <v>1211</v>
      </c>
      <c r="D24" s="245" t="s">
        <v>1212</v>
      </c>
      <c r="E24" s="245" t="s">
        <v>1213</v>
      </c>
      <c r="F24" s="246" t="s">
        <v>895</v>
      </c>
      <c r="G24" s="243" t="s">
        <v>896</v>
      </c>
    </row>
    <row r="25" spans="1:7" ht="45">
      <c r="A25" s="244" t="s">
        <v>1252</v>
      </c>
      <c r="B25" s="245" t="s">
        <v>1179</v>
      </c>
      <c r="C25" s="245" t="s">
        <v>1214</v>
      </c>
      <c r="D25" s="245" t="s">
        <v>1215</v>
      </c>
      <c r="E25" s="245" t="s">
        <v>1216</v>
      </c>
      <c r="F25" s="246" t="s">
        <v>895</v>
      </c>
      <c r="G25" s="243" t="s">
        <v>896</v>
      </c>
    </row>
    <row r="30" spans="1:7" ht="42.75">
      <c r="A30" s="102" t="s">
        <v>1168</v>
      </c>
      <c r="B30" s="102" t="s">
        <v>1227</v>
      </c>
      <c r="C30" s="102" t="s">
        <v>1169</v>
      </c>
      <c r="D30" s="102" t="s">
        <v>1170</v>
      </c>
      <c r="E30" s="102" t="s">
        <v>1228</v>
      </c>
      <c r="F30" s="102" t="s">
        <v>1171</v>
      </c>
    </row>
    <row r="31" spans="1:7" ht="30">
      <c r="A31" s="251" t="s">
        <v>1172</v>
      </c>
      <c r="B31" s="251">
        <v>24</v>
      </c>
      <c r="C31" s="251" t="s">
        <v>1175</v>
      </c>
      <c r="D31" s="252">
        <v>1</v>
      </c>
      <c r="E31" s="251">
        <v>2</v>
      </c>
      <c r="F31" s="251">
        <v>2</v>
      </c>
    </row>
    <row r="32" spans="1:7" ht="15">
      <c r="A32" s="251" t="s">
        <v>827</v>
      </c>
      <c r="B32" s="251">
        <v>54</v>
      </c>
      <c r="C32" s="251" t="s">
        <v>1173</v>
      </c>
      <c r="D32" s="253">
        <v>0.93100000000000005</v>
      </c>
      <c r="E32" s="251">
        <v>6</v>
      </c>
      <c r="F32" s="251">
        <v>5</v>
      </c>
    </row>
    <row r="33" spans="1:6" ht="15">
      <c r="A33" s="251" t="s">
        <v>828</v>
      </c>
      <c r="B33" s="251">
        <v>15</v>
      </c>
      <c r="C33" s="251" t="s">
        <v>1174</v>
      </c>
      <c r="D33" s="253">
        <v>0.89659999999999995</v>
      </c>
      <c r="E33" s="251">
        <v>1</v>
      </c>
      <c r="F33" s="251">
        <v>1</v>
      </c>
    </row>
    <row r="34" spans="1:6" ht="15">
      <c r="A34" s="251" t="s">
        <v>829</v>
      </c>
      <c r="B34" s="251">
        <v>73</v>
      </c>
      <c r="C34" s="251" t="s">
        <v>1175</v>
      </c>
      <c r="D34" s="252">
        <v>1</v>
      </c>
      <c r="E34" s="251">
        <v>3</v>
      </c>
      <c r="F34" s="251">
        <v>3</v>
      </c>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B2:E12"/>
  <sheetViews>
    <sheetView zoomScale="115" zoomScaleNormal="115" workbookViewId="0">
      <selection activeCell="B8" sqref="B8:E8"/>
    </sheetView>
  </sheetViews>
  <sheetFormatPr defaultRowHeight="14.25"/>
  <cols>
    <col min="2" max="2" width="10.125" bestFit="1" customWidth="1"/>
    <col min="3" max="3" width="11.5" customWidth="1"/>
    <col min="5" max="5" width="22.125" style="7" customWidth="1"/>
  </cols>
  <sheetData>
    <row r="2" spans="2:5">
      <c r="B2" s="259" t="s">
        <v>1068</v>
      </c>
      <c r="C2" s="259"/>
      <c r="D2" s="259"/>
      <c r="E2" s="259"/>
    </row>
    <row r="3" spans="2:5" ht="28.5">
      <c r="B3" s="15" t="s">
        <v>834</v>
      </c>
      <c r="C3" s="14" t="s">
        <v>821</v>
      </c>
      <c r="D3" s="14" t="s">
        <v>822</v>
      </c>
      <c r="E3" s="15" t="s">
        <v>823</v>
      </c>
    </row>
    <row r="4" spans="2:5" ht="42.75">
      <c r="B4" s="14" t="s">
        <v>824</v>
      </c>
      <c r="C4" s="12" t="s">
        <v>827</v>
      </c>
      <c r="D4" s="12" t="s">
        <v>830</v>
      </c>
      <c r="E4" s="13" t="s">
        <v>831</v>
      </c>
    </row>
    <row r="5" spans="2:5">
      <c r="B5" s="14" t="s">
        <v>825</v>
      </c>
      <c r="C5" s="12" t="s">
        <v>828</v>
      </c>
      <c r="D5" s="12" t="s">
        <v>832</v>
      </c>
      <c r="E5" s="13"/>
    </row>
    <row r="6" spans="2:5">
      <c r="B6" s="14" t="s">
        <v>826</v>
      </c>
      <c r="C6" s="12" t="s">
        <v>829</v>
      </c>
      <c r="D6" s="12" t="s">
        <v>833</v>
      </c>
      <c r="E6" s="13"/>
    </row>
    <row r="8" spans="2:5">
      <c r="B8" s="259" t="s">
        <v>1069</v>
      </c>
      <c r="C8" s="259"/>
      <c r="D8" s="259"/>
      <c r="E8" s="259"/>
    </row>
    <row r="9" spans="2:5" ht="28.5">
      <c r="B9" s="15" t="s">
        <v>834</v>
      </c>
      <c r="C9" s="14" t="s">
        <v>821</v>
      </c>
      <c r="D9" s="14" t="s">
        <v>822</v>
      </c>
      <c r="E9" s="15" t="s">
        <v>823</v>
      </c>
    </row>
    <row r="10" spans="2:5" ht="28.5">
      <c r="B10" s="14" t="s">
        <v>824</v>
      </c>
      <c r="C10" s="12" t="s">
        <v>827</v>
      </c>
      <c r="D10" s="12" t="s">
        <v>1070</v>
      </c>
      <c r="E10" s="13" t="s">
        <v>1071</v>
      </c>
    </row>
    <row r="11" spans="2:5">
      <c r="B11" s="14" t="s">
        <v>825</v>
      </c>
      <c r="C11" s="12" t="s">
        <v>828</v>
      </c>
      <c r="D11" s="12" t="s">
        <v>832</v>
      </c>
      <c r="E11" s="13"/>
    </row>
    <row r="12" spans="2:5">
      <c r="B12" s="14" t="s">
        <v>826</v>
      </c>
      <c r="C12" s="12" t="s">
        <v>829</v>
      </c>
      <c r="D12" s="12" t="s">
        <v>833</v>
      </c>
      <c r="E12" s="13"/>
    </row>
  </sheetData>
  <mergeCells count="2">
    <mergeCell ref="B2:E2"/>
    <mergeCell ref="B8:E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K30"/>
  <sheetViews>
    <sheetView zoomScaleNormal="100" workbookViewId="0">
      <pane ySplit="1" topLeftCell="A2" activePane="bottomLeft" state="frozen"/>
      <selection pane="bottomLeft" activeCell="I27" sqref="I27:K27"/>
    </sheetView>
  </sheetViews>
  <sheetFormatPr defaultColWidth="9" defaultRowHeight="14.25"/>
  <cols>
    <col min="1" max="1" width="3.125" customWidth="1"/>
    <col min="2" max="2" width="30.75" customWidth="1"/>
    <col min="3" max="3" width="14.25" style="7" customWidth="1"/>
    <col min="4" max="4" width="13.625" style="7" customWidth="1"/>
    <col min="5" max="5" width="13.5" style="7" customWidth="1"/>
    <col min="6" max="6" width="14.25" style="7" customWidth="1"/>
    <col min="7" max="7" width="13.625" style="7" customWidth="1"/>
    <col min="8" max="8" width="13.5" style="7" customWidth="1"/>
    <col min="9" max="9" width="14.25" style="7" customWidth="1"/>
    <col min="10" max="10" width="13.625" style="7" customWidth="1"/>
    <col min="11" max="11" width="13.5" style="7" customWidth="1"/>
  </cols>
  <sheetData>
    <row r="1" spans="2:11">
      <c r="C1" s="260" t="s">
        <v>827</v>
      </c>
      <c r="D1" s="260"/>
      <c r="E1" s="260"/>
      <c r="F1" s="261" t="s">
        <v>828</v>
      </c>
      <c r="G1" s="261"/>
      <c r="H1" s="261"/>
      <c r="I1" s="262" t="s">
        <v>829</v>
      </c>
      <c r="J1" s="262"/>
      <c r="K1" s="262"/>
    </row>
    <row r="2" spans="2:11" ht="28.5">
      <c r="B2" s="17" t="s">
        <v>883</v>
      </c>
      <c r="C2" s="16" t="s">
        <v>239</v>
      </c>
      <c r="D2" s="16" t="s">
        <v>368</v>
      </c>
      <c r="E2" s="16" t="s">
        <v>724</v>
      </c>
      <c r="F2" s="18" t="s">
        <v>239</v>
      </c>
      <c r="G2" s="18" t="s">
        <v>368</v>
      </c>
      <c r="H2" s="18" t="s">
        <v>724</v>
      </c>
      <c r="I2" s="19" t="s">
        <v>239</v>
      </c>
      <c r="J2" s="19" t="s">
        <v>368</v>
      </c>
      <c r="K2" s="19" t="s">
        <v>724</v>
      </c>
    </row>
    <row r="3" spans="2:11" ht="60">
      <c r="B3" s="216" t="s">
        <v>973</v>
      </c>
      <c r="C3" s="263">
        <f>SUM(C4:K8)</f>
        <v>58</v>
      </c>
      <c r="D3" s="264"/>
      <c r="E3" s="264"/>
      <c r="F3" s="264"/>
      <c r="G3" s="264"/>
      <c r="H3" s="264"/>
      <c r="I3" s="264"/>
      <c r="J3" s="264"/>
      <c r="K3" s="265"/>
    </row>
    <row r="4" spans="2:11" ht="15">
      <c r="B4" s="217" t="s">
        <v>934</v>
      </c>
      <c r="C4" s="263">
        <v>17</v>
      </c>
      <c r="D4" s="264"/>
      <c r="E4" s="264"/>
      <c r="F4" s="264"/>
      <c r="G4" s="264"/>
      <c r="H4" s="264"/>
      <c r="I4" s="264"/>
      <c r="J4" s="264"/>
      <c r="K4" s="265"/>
    </row>
    <row r="5" spans="2:11" ht="15">
      <c r="B5" s="217" t="s">
        <v>935</v>
      </c>
      <c r="C5" s="263">
        <v>9</v>
      </c>
      <c r="D5" s="264"/>
      <c r="E5" s="264"/>
      <c r="F5" s="264"/>
      <c r="G5" s="264"/>
      <c r="H5" s="264"/>
      <c r="I5" s="264"/>
      <c r="J5" s="264"/>
      <c r="K5" s="265"/>
    </row>
    <row r="6" spans="2:11" ht="15">
      <c r="B6" s="217" t="s">
        <v>936</v>
      </c>
      <c r="C6" s="263">
        <v>10</v>
      </c>
      <c r="D6" s="264"/>
      <c r="E6" s="264"/>
      <c r="F6" s="264"/>
      <c r="G6" s="264"/>
      <c r="H6" s="264"/>
      <c r="I6" s="264"/>
      <c r="J6" s="264"/>
      <c r="K6" s="265"/>
    </row>
    <row r="7" spans="2:11" ht="15">
      <c r="B7" s="217" t="s">
        <v>940</v>
      </c>
      <c r="C7" s="263">
        <v>12</v>
      </c>
      <c r="D7" s="264"/>
      <c r="E7" s="264"/>
      <c r="F7" s="264"/>
      <c r="G7" s="264"/>
      <c r="H7" s="264"/>
      <c r="I7" s="264"/>
      <c r="J7" s="264"/>
      <c r="K7" s="265"/>
    </row>
    <row r="8" spans="2:11" ht="15.75" thickBot="1">
      <c r="B8" s="217" t="s">
        <v>941</v>
      </c>
      <c r="C8" s="269">
        <v>10</v>
      </c>
      <c r="D8" s="270"/>
      <c r="E8" s="270"/>
      <c r="F8" s="270"/>
      <c r="G8" s="270"/>
      <c r="H8" s="270"/>
      <c r="I8" s="270"/>
      <c r="J8" s="270"/>
      <c r="K8" s="271"/>
    </row>
    <row r="9" spans="2:11" ht="28.5">
      <c r="B9" s="39" t="s">
        <v>982</v>
      </c>
      <c r="C9" s="218">
        <f>SUM(C13:C17)</f>
        <v>43</v>
      </c>
      <c r="D9" s="218">
        <f t="shared" ref="D9:K9" si="0">SUM(D13:D17)</f>
        <v>21</v>
      </c>
      <c r="E9" s="218">
        <f t="shared" si="0"/>
        <v>34</v>
      </c>
      <c r="F9" s="218">
        <f t="shared" si="0"/>
        <v>39</v>
      </c>
      <c r="G9" s="218">
        <f t="shared" si="0"/>
        <v>13</v>
      </c>
      <c r="H9" s="218">
        <f t="shared" si="0"/>
        <v>32</v>
      </c>
      <c r="I9" s="218">
        <f t="shared" si="0"/>
        <v>46</v>
      </c>
      <c r="J9" s="218">
        <f t="shared" si="0"/>
        <v>17</v>
      </c>
      <c r="K9" s="218">
        <f t="shared" si="0"/>
        <v>38</v>
      </c>
    </row>
    <row r="10" spans="2:11">
      <c r="B10" s="39" t="s">
        <v>1065</v>
      </c>
      <c r="C10" s="272">
        <v>54</v>
      </c>
      <c r="D10" s="273"/>
      <c r="E10" s="274"/>
      <c r="F10" s="272">
        <v>52</v>
      </c>
      <c r="G10" s="273"/>
      <c r="H10" s="274"/>
      <c r="I10" s="272">
        <v>58</v>
      </c>
      <c r="J10" s="273"/>
      <c r="K10" s="275"/>
    </row>
    <row r="11" spans="2:11">
      <c r="B11" s="39" t="s">
        <v>1067</v>
      </c>
      <c r="C11" s="276">
        <f>C10*100/58</f>
        <v>93.103448275862064</v>
      </c>
      <c r="D11" s="277"/>
      <c r="E11" s="278"/>
      <c r="F11" s="276">
        <f t="shared" ref="F11" si="1">F10*100/58</f>
        <v>89.65517241379311</v>
      </c>
      <c r="G11" s="277"/>
      <c r="H11" s="278"/>
      <c r="I11" s="276">
        <f t="shared" ref="I11" si="2">I10*100/58</f>
        <v>100</v>
      </c>
      <c r="J11" s="277"/>
      <c r="K11" s="278"/>
    </row>
    <row r="12" spans="2:11" ht="28.5">
      <c r="B12" s="40" t="s">
        <v>1066</v>
      </c>
      <c r="C12" s="36">
        <f>C9*100/C3</f>
        <v>74.137931034482762</v>
      </c>
      <c r="D12" s="36">
        <f>D9*100/C3</f>
        <v>36.206896551724135</v>
      </c>
      <c r="E12" s="36">
        <f>E9*100/C3</f>
        <v>58.620689655172413</v>
      </c>
      <c r="F12" s="36">
        <f>F9*100/C3</f>
        <v>67.241379310344826</v>
      </c>
      <c r="G12" s="36">
        <f>G9*100/C3</f>
        <v>22.413793103448278</v>
      </c>
      <c r="H12" s="36">
        <f>H9*100/C3</f>
        <v>55.172413793103445</v>
      </c>
      <c r="I12" s="36">
        <f>I9*100/C3</f>
        <v>79.310344827586206</v>
      </c>
      <c r="J12" s="36">
        <f>J9*100/C3</f>
        <v>29.310344827586206</v>
      </c>
      <c r="K12" s="36">
        <f>K9*100/C3</f>
        <v>65.517241379310349</v>
      </c>
    </row>
    <row r="13" spans="2:11" ht="28.5">
      <c r="B13" s="39" t="s">
        <v>983</v>
      </c>
      <c r="C13" s="219">
        <v>17</v>
      </c>
      <c r="D13" s="220">
        <v>4</v>
      </c>
      <c r="E13" s="221">
        <v>11</v>
      </c>
      <c r="F13" s="219">
        <v>16</v>
      </c>
      <c r="G13" s="220">
        <v>3</v>
      </c>
      <c r="H13" s="221">
        <v>12</v>
      </c>
      <c r="I13" s="219">
        <v>17</v>
      </c>
      <c r="J13" s="220">
        <v>3</v>
      </c>
      <c r="K13" s="221">
        <v>11</v>
      </c>
    </row>
    <row r="14" spans="2:11" ht="28.5">
      <c r="B14" s="39" t="s">
        <v>984</v>
      </c>
      <c r="C14" s="219">
        <v>9</v>
      </c>
      <c r="D14" s="220">
        <v>0</v>
      </c>
      <c r="E14" s="221">
        <v>8</v>
      </c>
      <c r="F14" s="219">
        <v>7</v>
      </c>
      <c r="G14" s="220">
        <v>0</v>
      </c>
      <c r="H14" s="221">
        <v>3</v>
      </c>
      <c r="I14" s="219">
        <v>9</v>
      </c>
      <c r="J14" s="220">
        <v>0</v>
      </c>
      <c r="K14" s="221">
        <v>8</v>
      </c>
    </row>
    <row r="15" spans="2:11" ht="28.5">
      <c r="B15" s="39" t="s">
        <v>985</v>
      </c>
      <c r="C15" s="219">
        <v>8</v>
      </c>
      <c r="D15" s="220">
        <v>0</v>
      </c>
      <c r="E15" s="221">
        <v>6</v>
      </c>
      <c r="F15" s="219">
        <v>8</v>
      </c>
      <c r="G15" s="220">
        <v>0</v>
      </c>
      <c r="H15" s="221">
        <v>9</v>
      </c>
      <c r="I15" s="219">
        <v>10</v>
      </c>
      <c r="J15" s="220">
        <v>0</v>
      </c>
      <c r="K15" s="221">
        <v>9</v>
      </c>
    </row>
    <row r="16" spans="2:11" ht="28.5">
      <c r="B16" s="39" t="s">
        <v>986</v>
      </c>
      <c r="C16" s="219">
        <v>1</v>
      </c>
      <c r="D16" s="220">
        <v>10</v>
      </c>
      <c r="E16" s="221">
        <v>7</v>
      </c>
      <c r="F16" s="219">
        <v>0</v>
      </c>
      <c r="G16" s="220">
        <v>5</v>
      </c>
      <c r="H16" s="221">
        <v>5</v>
      </c>
      <c r="I16" s="219">
        <v>0</v>
      </c>
      <c r="J16" s="220">
        <v>10</v>
      </c>
      <c r="K16" s="221">
        <v>8</v>
      </c>
    </row>
    <row r="17" spans="2:11" ht="29.25" thickBot="1">
      <c r="B17" s="39" t="s">
        <v>987</v>
      </c>
      <c r="C17" s="222">
        <v>8</v>
      </c>
      <c r="D17" s="223">
        <v>7</v>
      </c>
      <c r="E17" s="224">
        <v>2</v>
      </c>
      <c r="F17" s="222">
        <v>8</v>
      </c>
      <c r="G17" s="223">
        <v>5</v>
      </c>
      <c r="H17" s="224">
        <v>3</v>
      </c>
      <c r="I17" s="222">
        <v>10</v>
      </c>
      <c r="J17" s="223">
        <v>4</v>
      </c>
      <c r="K17" s="224">
        <v>2</v>
      </c>
    </row>
    <row r="18" spans="2:11" ht="15">
      <c r="B18" s="226" t="s">
        <v>938</v>
      </c>
      <c r="C18" s="266">
        <f>SUM(C19:E19)</f>
        <v>57</v>
      </c>
      <c r="D18" s="267"/>
      <c r="E18" s="268"/>
      <c r="F18" s="266">
        <f>SUM(F19:H19)</f>
        <v>16</v>
      </c>
      <c r="G18" s="267"/>
      <c r="H18" s="268"/>
      <c r="I18" s="266">
        <f>SUM(I19:K19)</f>
        <v>73</v>
      </c>
      <c r="J18" s="267"/>
      <c r="K18" s="268"/>
    </row>
    <row r="19" spans="2:11" ht="15">
      <c r="B19" s="226" t="s">
        <v>939</v>
      </c>
      <c r="C19" s="225">
        <v>25</v>
      </c>
      <c r="D19" s="225">
        <v>20</v>
      </c>
      <c r="E19" s="225">
        <v>12</v>
      </c>
      <c r="F19" s="225">
        <v>5</v>
      </c>
      <c r="G19" s="225">
        <v>6</v>
      </c>
      <c r="H19" s="225">
        <v>5</v>
      </c>
      <c r="I19" s="225">
        <v>33</v>
      </c>
      <c r="J19" s="225">
        <v>20</v>
      </c>
      <c r="K19" s="225">
        <v>20</v>
      </c>
    </row>
    <row r="20" spans="2:11">
      <c r="B20" s="227" t="s">
        <v>972</v>
      </c>
      <c r="C20" s="220">
        <v>22</v>
      </c>
      <c r="D20" s="220">
        <v>20</v>
      </c>
      <c r="E20" s="220">
        <v>12</v>
      </c>
      <c r="F20" s="220">
        <v>5</v>
      </c>
      <c r="G20" s="220">
        <v>6</v>
      </c>
      <c r="H20" s="220">
        <v>4</v>
      </c>
      <c r="I20" s="220">
        <v>33</v>
      </c>
      <c r="J20" s="220">
        <v>20</v>
      </c>
      <c r="K20" s="220">
        <v>20</v>
      </c>
    </row>
    <row r="21" spans="2:11">
      <c r="B21" s="33" t="s">
        <v>937</v>
      </c>
      <c r="C21" s="34">
        <f t="shared" ref="C21:K21" si="3">C20*100/C19</f>
        <v>88</v>
      </c>
      <c r="D21" s="34">
        <f t="shared" si="3"/>
        <v>100</v>
      </c>
      <c r="E21" s="34">
        <f t="shared" si="3"/>
        <v>100</v>
      </c>
      <c r="F21" s="34">
        <f t="shared" si="3"/>
        <v>100</v>
      </c>
      <c r="G21" s="34">
        <f t="shared" si="3"/>
        <v>100</v>
      </c>
      <c r="H21" s="34">
        <f t="shared" si="3"/>
        <v>80</v>
      </c>
      <c r="I21" s="34">
        <f t="shared" si="3"/>
        <v>100</v>
      </c>
      <c r="J21" s="34">
        <f t="shared" si="3"/>
        <v>100</v>
      </c>
      <c r="K21" s="34">
        <f t="shared" si="3"/>
        <v>100</v>
      </c>
    </row>
    <row r="22" spans="2:11">
      <c r="B22" s="11" t="s">
        <v>884</v>
      </c>
      <c r="C22" s="220">
        <v>22</v>
      </c>
      <c r="D22" s="220">
        <v>20</v>
      </c>
      <c r="E22" s="220">
        <v>12</v>
      </c>
      <c r="F22" s="220">
        <v>5</v>
      </c>
      <c r="G22" s="220">
        <v>6</v>
      </c>
      <c r="H22" s="220">
        <v>4</v>
      </c>
      <c r="I22" s="220">
        <v>33</v>
      </c>
      <c r="J22" s="220">
        <v>20</v>
      </c>
      <c r="K22" s="220">
        <v>20</v>
      </c>
    </row>
    <row r="23" spans="2:11">
      <c r="B23" s="33" t="s">
        <v>885</v>
      </c>
      <c r="C23" s="34">
        <f>C22*100/C19</f>
        <v>88</v>
      </c>
      <c r="D23" s="34">
        <f>D22*100/D19</f>
        <v>100</v>
      </c>
      <c r="E23" s="34">
        <f t="shared" ref="E23:J23" si="4">E22*100/E19</f>
        <v>100</v>
      </c>
      <c r="F23" s="34">
        <f t="shared" si="4"/>
        <v>100</v>
      </c>
      <c r="G23" s="34">
        <f t="shared" si="4"/>
        <v>100</v>
      </c>
      <c r="H23" s="34">
        <f t="shared" si="4"/>
        <v>80</v>
      </c>
      <c r="I23" s="34">
        <f t="shared" si="4"/>
        <v>100</v>
      </c>
      <c r="J23" s="34">
        <f t="shared" si="4"/>
        <v>100</v>
      </c>
      <c r="K23" s="34">
        <f>K22*100/K19</f>
        <v>100</v>
      </c>
    </row>
    <row r="24" spans="2:11">
      <c r="B24" s="11" t="s">
        <v>886</v>
      </c>
      <c r="C24" s="220">
        <v>3</v>
      </c>
      <c r="D24" s="220">
        <v>0</v>
      </c>
      <c r="E24" s="220">
        <v>0</v>
      </c>
      <c r="F24" s="220">
        <v>0</v>
      </c>
      <c r="G24" s="220">
        <v>0</v>
      </c>
      <c r="H24" s="220">
        <v>1</v>
      </c>
      <c r="I24" s="220">
        <v>0</v>
      </c>
      <c r="J24" s="220">
        <v>0</v>
      </c>
      <c r="K24" s="220">
        <v>0</v>
      </c>
    </row>
    <row r="25" spans="2:11">
      <c r="B25" s="33" t="s">
        <v>887</v>
      </c>
      <c r="C25" s="34">
        <f>C24*100/C19</f>
        <v>12</v>
      </c>
      <c r="D25" s="34">
        <f t="shared" ref="D25:K25" si="5">D24*100/D19</f>
        <v>0</v>
      </c>
      <c r="E25" s="34">
        <f t="shared" si="5"/>
        <v>0</v>
      </c>
      <c r="F25" s="34">
        <f t="shared" si="5"/>
        <v>0</v>
      </c>
      <c r="G25" s="34">
        <f t="shared" si="5"/>
        <v>0</v>
      </c>
      <c r="H25" s="34">
        <f t="shared" si="5"/>
        <v>20</v>
      </c>
      <c r="I25" s="34">
        <f t="shared" si="5"/>
        <v>0</v>
      </c>
      <c r="J25" s="34">
        <f t="shared" si="5"/>
        <v>0</v>
      </c>
      <c r="K25" s="34">
        <f t="shared" si="5"/>
        <v>0</v>
      </c>
    </row>
    <row r="26" spans="2:11">
      <c r="B26" s="228" t="s">
        <v>888</v>
      </c>
      <c r="C26" s="220">
        <v>22</v>
      </c>
      <c r="D26" s="220">
        <v>20</v>
      </c>
      <c r="E26" s="220">
        <v>12</v>
      </c>
      <c r="F26" s="220">
        <v>5</v>
      </c>
      <c r="G26" s="255">
        <v>6</v>
      </c>
      <c r="H26" s="220">
        <v>4</v>
      </c>
      <c r="I26" s="220">
        <v>33</v>
      </c>
      <c r="J26" s="220">
        <v>20</v>
      </c>
      <c r="K26" s="220">
        <v>20</v>
      </c>
    </row>
    <row r="27" spans="2:11">
      <c r="B27" s="228" t="s">
        <v>889</v>
      </c>
      <c r="C27" s="220">
        <v>21</v>
      </c>
      <c r="D27" s="220">
        <v>17</v>
      </c>
      <c r="E27" s="220">
        <v>10</v>
      </c>
      <c r="F27" s="220">
        <v>5</v>
      </c>
      <c r="G27" s="255">
        <v>5</v>
      </c>
      <c r="H27" s="220">
        <v>4</v>
      </c>
      <c r="I27" s="220">
        <v>33</v>
      </c>
      <c r="J27" s="220">
        <v>18</v>
      </c>
      <c r="K27" s="220">
        <v>19</v>
      </c>
    </row>
    <row r="28" spans="2:11">
      <c r="B28" s="228" t="s">
        <v>890</v>
      </c>
      <c r="C28" s="220">
        <v>1</v>
      </c>
      <c r="D28" s="220">
        <v>3</v>
      </c>
      <c r="E28" s="220">
        <v>2</v>
      </c>
      <c r="F28" s="220">
        <v>0</v>
      </c>
      <c r="G28" s="255">
        <v>1</v>
      </c>
      <c r="H28" s="220">
        <v>0</v>
      </c>
      <c r="I28" s="220">
        <v>0</v>
      </c>
      <c r="J28" s="220">
        <v>2</v>
      </c>
      <c r="K28" s="220">
        <v>1</v>
      </c>
    </row>
    <row r="29" spans="2:11">
      <c r="B29" s="35" t="s">
        <v>891</v>
      </c>
      <c r="C29" s="34">
        <f>C27*100/C26</f>
        <v>95.454545454545453</v>
      </c>
      <c r="D29" s="34">
        <f t="shared" ref="D29:J29" si="6">D27*100/D26</f>
        <v>85</v>
      </c>
      <c r="E29" s="34">
        <f t="shared" si="6"/>
        <v>83.333333333333329</v>
      </c>
      <c r="F29" s="34">
        <f t="shared" si="6"/>
        <v>100</v>
      </c>
      <c r="G29" s="34">
        <f t="shared" si="6"/>
        <v>83.333333333333329</v>
      </c>
      <c r="H29" s="34">
        <f>H27*100/H26</f>
        <v>100</v>
      </c>
      <c r="I29" s="34">
        <f t="shared" si="6"/>
        <v>100</v>
      </c>
      <c r="J29" s="34">
        <f t="shared" si="6"/>
        <v>90</v>
      </c>
      <c r="K29" s="34">
        <f>K27*100/K26</f>
        <v>95</v>
      </c>
    </row>
    <row r="30" spans="2:11">
      <c r="B30" s="228" t="s">
        <v>892</v>
      </c>
      <c r="C30" s="220">
        <v>1</v>
      </c>
      <c r="D30" s="220">
        <v>3</v>
      </c>
      <c r="E30" s="220">
        <v>1</v>
      </c>
      <c r="F30" s="220">
        <v>0</v>
      </c>
      <c r="G30" s="220">
        <v>1</v>
      </c>
      <c r="H30" s="220">
        <v>0</v>
      </c>
      <c r="I30" s="220">
        <v>0</v>
      </c>
      <c r="J30" s="220">
        <v>2</v>
      </c>
      <c r="K30" s="220">
        <v>1</v>
      </c>
    </row>
  </sheetData>
  <mergeCells count="18">
    <mergeCell ref="C5:K5"/>
    <mergeCell ref="C6:K6"/>
    <mergeCell ref="C18:E18"/>
    <mergeCell ref="F18:H18"/>
    <mergeCell ref="I18:K18"/>
    <mergeCell ref="C7:K7"/>
    <mergeCell ref="C8:K8"/>
    <mergeCell ref="C10:E10"/>
    <mergeCell ref="F10:H10"/>
    <mergeCell ref="I10:K10"/>
    <mergeCell ref="C11:E11"/>
    <mergeCell ref="F11:H11"/>
    <mergeCell ref="I11:K11"/>
    <mergeCell ref="C1:E1"/>
    <mergeCell ref="F1:H1"/>
    <mergeCell ref="I1:K1"/>
    <mergeCell ref="C3:K3"/>
    <mergeCell ref="C4:K4"/>
  </mergeCells>
  <pageMargins left="0.7" right="0.7" top="0.75" bottom="0.75" header="0.3" footer="0.3"/>
  <pageSetup paperSize="0" orientation="portrait" horizontalDpi="0" verticalDpi="0" copies="0"/>
  <ignoredErrors>
    <ignoredError sqref="C18 F18 I18"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48"/>
  <sheetViews>
    <sheetView topLeftCell="A41" zoomScaleNormal="100" workbookViewId="0">
      <selection activeCell="F50" sqref="F50"/>
    </sheetView>
  </sheetViews>
  <sheetFormatPr defaultRowHeight="14.25"/>
  <cols>
    <col min="1" max="1" width="9" style="7"/>
    <col min="2" max="2" width="18.625" style="7" customWidth="1"/>
    <col min="3" max="3" width="23.25" style="7" customWidth="1"/>
    <col min="4" max="4" width="19" style="7" customWidth="1"/>
    <col min="5" max="5" width="22.875" style="7" customWidth="1"/>
    <col min="6" max="6" width="21.5" style="7" customWidth="1"/>
    <col min="7" max="7" width="20.625" style="7" customWidth="1"/>
    <col min="8" max="8" width="33" style="7" customWidth="1"/>
  </cols>
  <sheetData>
    <row r="1" spans="1:8" ht="15">
      <c r="A1" s="280" t="s">
        <v>1291</v>
      </c>
      <c r="B1" s="280"/>
    </row>
    <row r="3" spans="1:8">
      <c r="A3" s="102" t="s">
        <v>1164</v>
      </c>
      <c r="B3" s="102" t="s">
        <v>1177</v>
      </c>
      <c r="C3" s="102" t="s">
        <v>1178</v>
      </c>
      <c r="D3" s="102" t="s">
        <v>1165</v>
      </c>
      <c r="E3" s="102" t="s">
        <v>1166</v>
      </c>
      <c r="F3" s="102" t="s">
        <v>1176</v>
      </c>
      <c r="G3" s="102" t="s">
        <v>1217</v>
      </c>
      <c r="H3" s="102" t="s">
        <v>1218</v>
      </c>
    </row>
    <row r="4" spans="1:8" ht="75">
      <c r="A4" s="247" t="s">
        <v>1233</v>
      </c>
      <c r="B4" s="248" t="s">
        <v>1188</v>
      </c>
      <c r="C4" s="248" t="s">
        <v>1256</v>
      </c>
      <c r="D4" s="248" t="s">
        <v>1191</v>
      </c>
      <c r="E4" s="248" t="s">
        <v>1192</v>
      </c>
      <c r="F4" s="249" t="s">
        <v>1290</v>
      </c>
      <c r="G4" s="250" t="s">
        <v>897</v>
      </c>
      <c r="H4" s="250"/>
    </row>
    <row r="5" spans="1:8" ht="45">
      <c r="A5" s="247" t="s">
        <v>1246</v>
      </c>
      <c r="B5" s="248" t="s">
        <v>1188</v>
      </c>
      <c r="C5" s="248" t="s">
        <v>1264</v>
      </c>
      <c r="D5" s="248" t="s">
        <v>1204</v>
      </c>
      <c r="E5" s="248" t="s">
        <v>133</v>
      </c>
      <c r="F5" s="249" t="s">
        <v>1266</v>
      </c>
      <c r="G5" s="250" t="s">
        <v>897</v>
      </c>
      <c r="H5" s="250"/>
    </row>
    <row r="7" spans="1:8" ht="15">
      <c r="A7" s="6" t="s">
        <v>827</v>
      </c>
      <c r="B7" s="6"/>
      <c r="C7" s="6"/>
      <c r="D7" s="6"/>
      <c r="E7" s="6"/>
      <c r="F7" s="6"/>
      <c r="G7" s="6"/>
      <c r="H7" s="6"/>
    </row>
    <row r="8" spans="1:8">
      <c r="A8" s="241"/>
      <c r="B8" s="241"/>
      <c r="C8" s="241"/>
      <c r="D8" s="254"/>
      <c r="E8" s="254"/>
      <c r="F8" s="241"/>
      <c r="G8" s="241"/>
      <c r="H8" s="241"/>
    </row>
    <row r="9" spans="1:8" ht="30">
      <c r="A9" s="6" t="s">
        <v>159</v>
      </c>
      <c r="B9" s="6" t="s">
        <v>2</v>
      </c>
      <c r="C9" s="6" t="s">
        <v>160</v>
      </c>
      <c r="D9" s="6" t="s">
        <v>161</v>
      </c>
      <c r="E9" s="6" t="s">
        <v>162</v>
      </c>
      <c r="F9" s="6" t="s">
        <v>163</v>
      </c>
      <c r="G9" s="6" t="s">
        <v>894</v>
      </c>
      <c r="H9" s="6" t="s">
        <v>900</v>
      </c>
    </row>
    <row r="10" spans="1:8" ht="15">
      <c r="A10" s="281" t="s">
        <v>239</v>
      </c>
      <c r="B10" s="281"/>
      <c r="C10" s="281"/>
      <c r="D10" s="281"/>
      <c r="E10" s="281"/>
      <c r="F10" s="281"/>
      <c r="G10" s="281"/>
      <c r="H10" s="281"/>
    </row>
    <row r="11" spans="1:8" ht="85.5">
      <c r="A11" s="23" t="s">
        <v>331</v>
      </c>
      <c r="B11" s="23" t="s">
        <v>332</v>
      </c>
      <c r="C11" s="23" t="s">
        <v>333</v>
      </c>
      <c r="D11" s="23" t="s">
        <v>334</v>
      </c>
      <c r="E11" s="23" t="s">
        <v>335</v>
      </c>
      <c r="F11" s="23" t="s">
        <v>336</v>
      </c>
      <c r="G11" s="26" t="s">
        <v>911</v>
      </c>
      <c r="H11" s="26" t="s">
        <v>897</v>
      </c>
    </row>
    <row r="12" spans="1:8">
      <c r="A12" s="10"/>
      <c r="B12" s="10"/>
      <c r="C12" s="10"/>
      <c r="D12" s="10"/>
      <c r="E12" s="10"/>
      <c r="F12" s="10"/>
      <c r="G12" s="10"/>
      <c r="H12" s="10"/>
    </row>
    <row r="13" spans="1:8" ht="15">
      <c r="A13" s="282" t="s">
        <v>368</v>
      </c>
      <c r="B13" s="282"/>
      <c r="C13" s="282"/>
      <c r="D13" s="282"/>
      <c r="E13" s="282"/>
      <c r="F13" s="282"/>
      <c r="G13" s="282"/>
      <c r="H13" s="282"/>
    </row>
    <row r="14" spans="1:8" ht="30">
      <c r="A14" s="25" t="s">
        <v>159</v>
      </c>
      <c r="B14" s="25" t="s">
        <v>2</v>
      </c>
      <c r="C14" s="25" t="s">
        <v>160</v>
      </c>
      <c r="D14" s="25" t="s">
        <v>161</v>
      </c>
      <c r="E14" s="25" t="s">
        <v>162</v>
      </c>
      <c r="F14" s="25" t="s">
        <v>163</v>
      </c>
      <c r="G14" s="25" t="s">
        <v>894</v>
      </c>
      <c r="H14" s="25" t="s">
        <v>900</v>
      </c>
    </row>
    <row r="15" spans="1:8" ht="114">
      <c r="A15" s="30" t="s">
        <v>374</v>
      </c>
      <c r="B15" s="30" t="s">
        <v>375</v>
      </c>
      <c r="C15" s="30" t="s">
        <v>349</v>
      </c>
      <c r="D15" s="30" t="s">
        <v>376</v>
      </c>
      <c r="E15" s="30" t="s">
        <v>261</v>
      </c>
      <c r="F15" s="30" t="s">
        <v>377</v>
      </c>
      <c r="G15" s="26" t="s">
        <v>914</v>
      </c>
      <c r="H15" s="26" t="s">
        <v>897</v>
      </c>
    </row>
    <row r="16" spans="1:8" ht="128.25">
      <c r="A16" s="30" t="s">
        <v>411</v>
      </c>
      <c r="B16" s="30" t="s">
        <v>412</v>
      </c>
      <c r="C16" s="30" t="s">
        <v>349</v>
      </c>
      <c r="D16" s="30" t="s">
        <v>413</v>
      </c>
      <c r="E16" s="30" t="s">
        <v>261</v>
      </c>
      <c r="F16" s="30" t="s">
        <v>414</v>
      </c>
      <c r="G16" s="26" t="s">
        <v>918</v>
      </c>
      <c r="H16" s="26" t="s">
        <v>897</v>
      </c>
    </row>
    <row r="17" spans="1:8" ht="71.25">
      <c r="A17" s="30" t="s">
        <v>434</v>
      </c>
      <c r="B17" s="30" t="s">
        <v>435</v>
      </c>
      <c r="C17" s="30" t="s">
        <v>327</v>
      </c>
      <c r="D17" s="30" t="s">
        <v>436</v>
      </c>
      <c r="E17" s="30" t="s">
        <v>437</v>
      </c>
      <c r="F17" s="30" t="s">
        <v>438</v>
      </c>
      <c r="G17" s="26" t="s">
        <v>921</v>
      </c>
      <c r="H17" s="26" t="s">
        <v>897</v>
      </c>
    </row>
    <row r="18" spans="1:8">
      <c r="A18" s="10"/>
      <c r="B18" s="10"/>
      <c r="C18" s="10"/>
      <c r="D18" s="10"/>
      <c r="E18" s="10"/>
      <c r="F18" s="10"/>
      <c r="G18" s="10"/>
      <c r="H18" s="10"/>
    </row>
    <row r="19" spans="1:8" ht="15">
      <c r="A19" s="282" t="s">
        <v>449</v>
      </c>
      <c r="B19" s="282"/>
      <c r="C19" s="282"/>
      <c r="D19" s="282"/>
      <c r="E19" s="282"/>
      <c r="F19" s="282"/>
      <c r="G19" s="282"/>
      <c r="H19" s="282"/>
    </row>
    <row r="20" spans="1:8" ht="30">
      <c r="A20" s="25" t="s">
        <v>159</v>
      </c>
      <c r="B20" s="25" t="s">
        <v>2</v>
      </c>
      <c r="C20" s="25" t="s">
        <v>160</v>
      </c>
      <c r="D20" s="25" t="s">
        <v>161</v>
      </c>
      <c r="E20" s="25" t="s">
        <v>162</v>
      </c>
      <c r="F20" s="25" t="s">
        <v>163</v>
      </c>
      <c r="G20" s="25" t="s">
        <v>894</v>
      </c>
      <c r="H20" s="25" t="s">
        <v>900</v>
      </c>
    </row>
    <row r="21" spans="1:8" ht="142.5">
      <c r="A21" s="30" t="s">
        <v>455</v>
      </c>
      <c r="B21" s="30" t="s">
        <v>456</v>
      </c>
      <c r="C21" s="30" t="s">
        <v>349</v>
      </c>
      <c r="D21" s="30" t="s">
        <v>457</v>
      </c>
      <c r="E21" s="30" t="s">
        <v>453</v>
      </c>
      <c r="F21" s="30" t="s">
        <v>458</v>
      </c>
      <c r="G21" s="26" t="s">
        <v>923</v>
      </c>
      <c r="H21" s="26" t="s">
        <v>897</v>
      </c>
    </row>
    <row r="22" spans="1:8" ht="142.5">
      <c r="A22" s="30" t="s">
        <v>463</v>
      </c>
      <c r="B22" s="30" t="s">
        <v>464</v>
      </c>
      <c r="C22" s="30" t="s">
        <v>349</v>
      </c>
      <c r="D22" s="30" t="s">
        <v>465</v>
      </c>
      <c r="E22" s="30" t="s">
        <v>453</v>
      </c>
      <c r="F22" s="30" t="s">
        <v>466</v>
      </c>
      <c r="G22" s="26" t="s">
        <v>924</v>
      </c>
      <c r="H22" s="26" t="s">
        <v>897</v>
      </c>
    </row>
    <row r="24" spans="1:8" ht="15">
      <c r="A24" s="6" t="s">
        <v>828</v>
      </c>
    </row>
    <row r="26" spans="1:8" ht="15">
      <c r="A26" s="283" t="s">
        <v>368</v>
      </c>
      <c r="B26" s="283"/>
      <c r="C26" s="283"/>
      <c r="D26" s="283"/>
      <c r="E26" s="283"/>
      <c r="F26" s="283"/>
      <c r="G26" s="283"/>
      <c r="H26" s="283"/>
    </row>
    <row r="27" spans="1:8" ht="25.5">
      <c r="A27" s="28" t="s">
        <v>159</v>
      </c>
      <c r="B27" s="28" t="s">
        <v>2</v>
      </c>
      <c r="C27" s="28" t="s">
        <v>160</v>
      </c>
      <c r="D27" s="28" t="s">
        <v>161</v>
      </c>
      <c r="E27" s="29" t="s">
        <v>162</v>
      </c>
      <c r="F27" s="28" t="s">
        <v>163</v>
      </c>
      <c r="G27" s="12"/>
      <c r="H27" s="12"/>
    </row>
    <row r="28" spans="1:8" ht="38.25">
      <c r="A28" s="21" t="s">
        <v>172</v>
      </c>
      <c r="B28" s="21" t="s">
        <v>876</v>
      </c>
      <c r="C28" s="21" t="s">
        <v>865</v>
      </c>
      <c r="D28" s="21" t="s">
        <v>877</v>
      </c>
      <c r="E28" s="21" t="s">
        <v>867</v>
      </c>
      <c r="F28" s="21" t="s">
        <v>878</v>
      </c>
      <c r="G28" s="22" t="s">
        <v>1268</v>
      </c>
      <c r="H28" s="27" t="s">
        <v>897</v>
      </c>
    </row>
    <row r="29" spans="1:8">
      <c r="A29"/>
      <c r="B29"/>
      <c r="C29"/>
      <c r="D29"/>
      <c r="E29"/>
      <c r="G29"/>
      <c r="H29"/>
    </row>
    <row r="30" spans="1:8" ht="15">
      <c r="A30" s="6" t="s">
        <v>829</v>
      </c>
    </row>
    <row r="32" spans="1:8">
      <c r="A32" s="279" t="s">
        <v>368</v>
      </c>
      <c r="B32" s="279"/>
      <c r="C32" s="279"/>
      <c r="D32" s="279"/>
      <c r="E32" s="279"/>
      <c r="F32" s="279"/>
      <c r="G32" s="279"/>
      <c r="H32" s="279"/>
    </row>
    <row r="33" spans="1:8" ht="25.5">
      <c r="A33" s="31" t="s">
        <v>159</v>
      </c>
      <c r="B33" s="31" t="s">
        <v>2</v>
      </c>
      <c r="C33" s="31" t="s">
        <v>160</v>
      </c>
      <c r="D33" s="31" t="s">
        <v>161</v>
      </c>
      <c r="E33" s="31" t="s">
        <v>162</v>
      </c>
      <c r="F33" s="31" t="s">
        <v>163</v>
      </c>
      <c r="G33" s="31" t="s">
        <v>925</v>
      </c>
      <c r="H33" s="31" t="s">
        <v>902</v>
      </c>
    </row>
    <row r="34" spans="1:8" ht="38.25">
      <c r="A34" s="32" t="s">
        <v>205</v>
      </c>
      <c r="B34" s="32" t="s">
        <v>646</v>
      </c>
      <c r="C34" s="32" t="s">
        <v>620</v>
      </c>
      <c r="D34" s="32" t="s">
        <v>647</v>
      </c>
      <c r="E34" s="32" t="s">
        <v>648</v>
      </c>
      <c r="F34" s="32" t="s">
        <v>649</v>
      </c>
      <c r="G34" s="26" t="s">
        <v>926</v>
      </c>
      <c r="H34" s="26" t="s">
        <v>897</v>
      </c>
    </row>
    <row r="35" spans="1:8" ht="38.25">
      <c r="A35" s="32" t="s">
        <v>215</v>
      </c>
      <c r="B35" s="32" t="s">
        <v>683</v>
      </c>
      <c r="C35" s="32" t="s">
        <v>620</v>
      </c>
      <c r="D35" s="32" t="s">
        <v>684</v>
      </c>
      <c r="E35" s="32" t="s">
        <v>685</v>
      </c>
      <c r="F35" s="32" t="s">
        <v>686</v>
      </c>
      <c r="G35" s="26" t="s">
        <v>928</v>
      </c>
      <c r="H35" s="26" t="s">
        <v>897</v>
      </c>
    </row>
    <row r="36" spans="1:8">
      <c r="A36" s="279" t="s">
        <v>724</v>
      </c>
      <c r="B36" s="279"/>
      <c r="C36" s="279"/>
      <c r="D36" s="279"/>
      <c r="E36" s="279"/>
      <c r="F36" s="279"/>
      <c r="G36" s="279"/>
      <c r="H36" s="279"/>
    </row>
    <row r="37" spans="1:8" ht="25.5">
      <c r="A37" s="31" t="s">
        <v>159</v>
      </c>
      <c r="B37" s="31" t="s">
        <v>2</v>
      </c>
      <c r="C37" s="31" t="s">
        <v>160</v>
      </c>
      <c r="D37" s="31" t="s">
        <v>161</v>
      </c>
      <c r="E37" s="31" t="s">
        <v>162</v>
      </c>
      <c r="F37" s="31" t="s">
        <v>163</v>
      </c>
      <c r="G37" s="31" t="s">
        <v>925</v>
      </c>
      <c r="H37" s="31" t="s">
        <v>902</v>
      </c>
    </row>
    <row r="38" spans="1:8" ht="76.5">
      <c r="A38" s="32" t="s">
        <v>219</v>
      </c>
      <c r="B38" s="32" t="s">
        <v>729</v>
      </c>
      <c r="C38" s="32" t="s">
        <v>620</v>
      </c>
      <c r="D38" s="32" t="s">
        <v>730</v>
      </c>
      <c r="E38" s="32" t="s">
        <v>731</v>
      </c>
      <c r="F38" s="32" t="s">
        <v>732</v>
      </c>
      <c r="G38" s="26" t="s">
        <v>933</v>
      </c>
      <c r="H38" s="26" t="s">
        <v>897</v>
      </c>
    </row>
    <row r="43" spans="1:8">
      <c r="A43" s="102" t="s">
        <v>1292</v>
      </c>
      <c r="B43" s="102" t="s">
        <v>1269</v>
      </c>
      <c r="C43" s="102" t="s">
        <v>1270</v>
      </c>
      <c r="D43" s="102" t="s">
        <v>1271</v>
      </c>
      <c r="E43" s="102" t="s">
        <v>1272</v>
      </c>
      <c r="F43" s="102" t="s">
        <v>827</v>
      </c>
      <c r="G43" s="102" t="s">
        <v>828</v>
      </c>
      <c r="H43" s="102" t="s">
        <v>829</v>
      </c>
    </row>
    <row r="44" spans="1:8" ht="60">
      <c r="A44" s="98">
        <v>1</v>
      </c>
      <c r="B44" s="242" t="s">
        <v>1289</v>
      </c>
      <c r="C44" s="242" t="s">
        <v>1274</v>
      </c>
      <c r="D44" s="242" t="s">
        <v>1275</v>
      </c>
      <c r="E44" s="98" t="s">
        <v>1273</v>
      </c>
      <c r="F44" s="98" t="s">
        <v>1288</v>
      </c>
      <c r="G44" s="98" t="s">
        <v>1273</v>
      </c>
      <c r="H44" s="98" t="s">
        <v>1273</v>
      </c>
    </row>
    <row r="45" spans="1:8" ht="30">
      <c r="A45" s="98">
        <v>2</v>
      </c>
      <c r="B45" s="242" t="s">
        <v>1276</v>
      </c>
      <c r="C45" s="242" t="s">
        <v>1277</v>
      </c>
      <c r="D45" s="242" t="s">
        <v>1278</v>
      </c>
      <c r="E45" s="98" t="s">
        <v>1273</v>
      </c>
      <c r="F45" s="98" t="s">
        <v>374</v>
      </c>
      <c r="G45" s="98" t="s">
        <v>1273</v>
      </c>
      <c r="H45" s="98" t="s">
        <v>205</v>
      </c>
    </row>
    <row r="46" spans="1:8" ht="30">
      <c r="A46" s="98">
        <v>3</v>
      </c>
      <c r="B46" s="242" t="s">
        <v>1279</v>
      </c>
      <c r="C46" s="242" t="s">
        <v>1280</v>
      </c>
      <c r="D46" s="242" t="s">
        <v>1281</v>
      </c>
      <c r="E46" s="98" t="s">
        <v>1246</v>
      </c>
      <c r="F46" s="98" t="s">
        <v>411</v>
      </c>
      <c r="G46" s="98" t="s">
        <v>172</v>
      </c>
      <c r="H46" s="98" t="s">
        <v>215</v>
      </c>
    </row>
    <row r="47" spans="1:8" ht="45">
      <c r="A47" s="98">
        <v>4</v>
      </c>
      <c r="B47" s="242" t="s">
        <v>1282</v>
      </c>
      <c r="C47" s="242" t="s">
        <v>1283</v>
      </c>
      <c r="D47" s="242" t="s">
        <v>1284</v>
      </c>
      <c r="E47" s="98" t="s">
        <v>1233</v>
      </c>
      <c r="F47" s="98" t="s">
        <v>455</v>
      </c>
      <c r="G47" s="98" t="s">
        <v>1273</v>
      </c>
      <c r="H47" s="98" t="s">
        <v>219</v>
      </c>
    </row>
    <row r="48" spans="1:8" ht="60">
      <c r="A48" s="98">
        <v>5</v>
      </c>
      <c r="B48" s="242" t="s">
        <v>1285</v>
      </c>
      <c r="C48" s="242" t="s">
        <v>1286</v>
      </c>
      <c r="D48" s="242" t="s">
        <v>1287</v>
      </c>
      <c r="E48" s="98" t="s">
        <v>1273</v>
      </c>
      <c r="F48" s="98" t="s">
        <v>463</v>
      </c>
      <c r="G48" s="98" t="s">
        <v>1273</v>
      </c>
      <c r="H48" s="98" t="s">
        <v>1273</v>
      </c>
    </row>
  </sheetData>
  <mergeCells count="7">
    <mergeCell ref="A32:H32"/>
    <mergeCell ref="A36:H36"/>
    <mergeCell ref="A1:B1"/>
    <mergeCell ref="A10:H10"/>
    <mergeCell ref="A13:H13"/>
    <mergeCell ref="A19:H19"/>
    <mergeCell ref="A26:H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I72"/>
  <sheetViews>
    <sheetView zoomScale="85" zoomScaleNormal="85" workbookViewId="0">
      <selection activeCell="D59" sqref="D59"/>
    </sheetView>
  </sheetViews>
  <sheetFormatPr defaultColWidth="8.75" defaultRowHeight="15"/>
  <cols>
    <col min="1" max="1" width="14.25" style="42" customWidth="1"/>
    <col min="2" max="2" width="31.125" style="38" customWidth="1"/>
    <col min="3" max="3" width="34.125" style="38" customWidth="1"/>
    <col min="4" max="4" width="21.5" style="43" customWidth="1"/>
    <col min="5" max="5" width="26.75" style="38" customWidth="1"/>
    <col min="6" max="6" width="22.5" style="43" customWidth="1"/>
    <col min="7" max="7" width="23.5" style="1" customWidth="1"/>
    <col min="8" max="8" width="16.875" style="1" customWidth="1"/>
    <col min="9" max="9" width="18.25" style="1" customWidth="1"/>
    <col min="10" max="16384" width="8.75" style="1"/>
  </cols>
  <sheetData>
    <row r="1" spans="1:6">
      <c r="A1" s="287" t="s">
        <v>0</v>
      </c>
      <c r="B1" s="287"/>
      <c r="C1" s="287"/>
      <c r="D1" s="284" t="s">
        <v>893</v>
      </c>
      <c r="E1" s="285"/>
      <c r="F1" s="286"/>
    </row>
    <row r="2" spans="1:6">
      <c r="A2" s="41" t="s">
        <v>1</v>
      </c>
      <c r="B2" s="37" t="s">
        <v>2</v>
      </c>
      <c r="C2" s="37" t="s">
        <v>3</v>
      </c>
      <c r="D2" s="37" t="s">
        <v>827</v>
      </c>
      <c r="E2" s="37" t="s">
        <v>828</v>
      </c>
      <c r="F2" s="37" t="s">
        <v>829</v>
      </c>
    </row>
    <row r="3" spans="1:6" ht="270">
      <c r="A3" s="229" t="s">
        <v>8</v>
      </c>
      <c r="B3" s="98" t="s">
        <v>17</v>
      </c>
      <c r="C3" s="98" t="s">
        <v>25</v>
      </c>
      <c r="D3" s="98" t="s">
        <v>991</v>
      </c>
      <c r="E3" s="13" t="s">
        <v>992</v>
      </c>
      <c r="F3" s="98" t="s">
        <v>993</v>
      </c>
    </row>
    <row r="4" spans="1:6" ht="85.5">
      <c r="A4" s="229" t="s">
        <v>9</v>
      </c>
      <c r="B4" s="98" t="s">
        <v>85</v>
      </c>
      <c r="C4" s="98" t="s">
        <v>86</v>
      </c>
      <c r="D4" s="98" t="s">
        <v>942</v>
      </c>
      <c r="E4" s="13" t="s">
        <v>1001</v>
      </c>
      <c r="F4" s="98" t="s">
        <v>994</v>
      </c>
    </row>
    <row r="5" spans="1:6" ht="150">
      <c r="A5" s="229" t="s">
        <v>10</v>
      </c>
      <c r="B5" s="98" t="s">
        <v>87</v>
      </c>
      <c r="C5" s="98" t="s">
        <v>88</v>
      </c>
      <c r="D5" s="98" t="s">
        <v>1056</v>
      </c>
      <c r="E5" s="13" t="s">
        <v>995</v>
      </c>
      <c r="F5" s="98" t="s">
        <v>1000</v>
      </c>
    </row>
    <row r="6" spans="1:6" ht="60">
      <c r="A6" s="229" t="s">
        <v>11</v>
      </c>
      <c r="B6" s="98" t="s">
        <v>89</v>
      </c>
      <c r="C6" s="98" t="s">
        <v>152</v>
      </c>
      <c r="D6" s="98" t="s">
        <v>961</v>
      </c>
      <c r="E6" s="13" t="s">
        <v>167</v>
      </c>
      <c r="F6" s="98" t="s">
        <v>968</v>
      </c>
    </row>
    <row r="7" spans="1:6" ht="105">
      <c r="A7" s="229" t="s">
        <v>12</v>
      </c>
      <c r="B7" s="98" t="s">
        <v>18</v>
      </c>
      <c r="C7" s="98" t="s">
        <v>26</v>
      </c>
      <c r="D7" s="98" t="s">
        <v>943</v>
      </c>
      <c r="E7" s="13" t="s">
        <v>964</v>
      </c>
      <c r="F7" s="98" t="s">
        <v>996</v>
      </c>
    </row>
    <row r="8" spans="1:6" ht="150">
      <c r="A8" s="229" t="s">
        <v>13</v>
      </c>
      <c r="B8" s="98" t="s">
        <v>19</v>
      </c>
      <c r="C8" s="98" t="s">
        <v>90</v>
      </c>
      <c r="D8" s="98" t="s">
        <v>997</v>
      </c>
      <c r="E8" s="13" t="s">
        <v>998</v>
      </c>
      <c r="F8" s="98" t="s">
        <v>999</v>
      </c>
    </row>
    <row r="9" spans="1:6" ht="120">
      <c r="A9" s="229" t="s">
        <v>14</v>
      </c>
      <c r="B9" s="98" t="s">
        <v>20</v>
      </c>
      <c r="C9" s="98" t="s">
        <v>27</v>
      </c>
      <c r="D9" s="98" t="s">
        <v>944</v>
      </c>
      <c r="E9" s="13" t="s">
        <v>964</v>
      </c>
      <c r="F9" s="98" t="s">
        <v>1002</v>
      </c>
    </row>
    <row r="10" spans="1:6" ht="105">
      <c r="A10" s="229" t="s">
        <v>15</v>
      </c>
      <c r="B10" s="98" t="s">
        <v>91</v>
      </c>
      <c r="C10" s="98" t="s">
        <v>92</v>
      </c>
      <c r="D10" s="98" t="s">
        <v>1003</v>
      </c>
      <c r="E10" s="13" t="s">
        <v>1004</v>
      </c>
      <c r="F10" s="98" t="s">
        <v>1005</v>
      </c>
    </row>
    <row r="11" spans="1:6" ht="105">
      <c r="A11" s="229" t="s">
        <v>16</v>
      </c>
      <c r="B11" s="98" t="s">
        <v>21</v>
      </c>
      <c r="C11" s="98" t="s">
        <v>155</v>
      </c>
      <c r="D11" s="98" t="s">
        <v>1006</v>
      </c>
      <c r="E11" s="13" t="s">
        <v>963</v>
      </c>
      <c r="F11" s="98" t="s">
        <v>1007</v>
      </c>
    </row>
    <row r="12" spans="1:6" ht="75">
      <c r="A12" s="229" t="s">
        <v>93</v>
      </c>
      <c r="B12" s="98" t="s">
        <v>4</v>
      </c>
      <c r="C12" s="98" t="s">
        <v>28</v>
      </c>
      <c r="D12" s="98" t="s">
        <v>1008</v>
      </c>
      <c r="E12" s="13" t="s">
        <v>966</v>
      </c>
      <c r="F12" s="98" t="s">
        <v>1009</v>
      </c>
    </row>
    <row r="13" spans="1:6" ht="60">
      <c r="A13" s="229" t="s">
        <v>94</v>
      </c>
      <c r="B13" s="98" t="s">
        <v>22</v>
      </c>
      <c r="C13" s="98" t="s">
        <v>29</v>
      </c>
      <c r="D13" s="98" t="s">
        <v>981</v>
      </c>
      <c r="E13" s="13" t="s">
        <v>966</v>
      </c>
      <c r="F13" s="98" t="s">
        <v>1010</v>
      </c>
    </row>
    <row r="14" spans="1:6" ht="30">
      <c r="A14" s="229" t="s">
        <v>95</v>
      </c>
      <c r="B14" s="98" t="s">
        <v>23</v>
      </c>
      <c r="C14" s="98" t="s">
        <v>30</v>
      </c>
      <c r="D14" s="98" t="s">
        <v>945</v>
      </c>
      <c r="E14" s="13" t="s">
        <v>974</v>
      </c>
      <c r="F14" s="98" t="s">
        <v>1011</v>
      </c>
    </row>
    <row r="15" spans="1:6" ht="30">
      <c r="A15" s="229" t="s">
        <v>96</v>
      </c>
      <c r="B15" s="98" t="s">
        <v>24</v>
      </c>
      <c r="C15" s="98" t="s">
        <v>97</v>
      </c>
      <c r="D15" s="98" t="s">
        <v>279</v>
      </c>
      <c r="E15" s="98" t="s">
        <v>165</v>
      </c>
      <c r="F15" s="98" t="s">
        <v>969</v>
      </c>
    </row>
    <row r="16" spans="1:6" ht="30">
      <c r="A16" s="229" t="s">
        <v>98</v>
      </c>
      <c r="B16" s="98" t="s">
        <v>79</v>
      </c>
      <c r="C16" s="98" t="s">
        <v>99</v>
      </c>
      <c r="D16" s="98" t="s">
        <v>946</v>
      </c>
      <c r="E16" s="98" t="s">
        <v>841</v>
      </c>
      <c r="F16" s="98" t="s">
        <v>191</v>
      </c>
    </row>
    <row r="17" spans="1:6" ht="60">
      <c r="A17" s="229" t="s">
        <v>100</v>
      </c>
      <c r="B17" s="98" t="s">
        <v>80</v>
      </c>
      <c r="C17" s="98" t="s">
        <v>101</v>
      </c>
      <c r="D17" s="98" t="s">
        <v>988</v>
      </c>
      <c r="E17" s="98" t="s">
        <v>165</v>
      </c>
      <c r="F17" s="98" t="s">
        <v>190</v>
      </c>
    </row>
    <row r="18" spans="1:6" ht="30">
      <c r="A18" s="229" t="s">
        <v>102</v>
      </c>
      <c r="B18" s="98" t="s">
        <v>103</v>
      </c>
      <c r="C18" s="98" t="s">
        <v>104</v>
      </c>
      <c r="D18" s="98" t="s">
        <v>320</v>
      </c>
      <c r="E18" s="230" t="s">
        <v>976</v>
      </c>
      <c r="F18" s="98" t="s">
        <v>202</v>
      </c>
    </row>
    <row r="19" spans="1:6" ht="165" customHeight="1">
      <c r="A19" s="229" t="s">
        <v>105</v>
      </c>
      <c r="B19" s="98" t="s">
        <v>106</v>
      </c>
      <c r="C19" s="98" t="s">
        <v>107</v>
      </c>
      <c r="D19" s="98" t="s">
        <v>947</v>
      </c>
      <c r="E19" s="13" t="s">
        <v>975</v>
      </c>
      <c r="F19" s="98" t="s">
        <v>1012</v>
      </c>
    </row>
    <row r="21" spans="1:6">
      <c r="A21" s="258" t="s">
        <v>81</v>
      </c>
      <c r="B21" s="258"/>
      <c r="C21" s="258"/>
      <c r="D21" s="284" t="s">
        <v>893</v>
      </c>
      <c r="E21" s="285"/>
      <c r="F21" s="286"/>
    </row>
    <row r="22" spans="1:6">
      <c r="A22" s="41" t="s">
        <v>1</v>
      </c>
      <c r="B22" s="37" t="s">
        <v>2</v>
      </c>
      <c r="C22" s="37" t="s">
        <v>3</v>
      </c>
      <c r="D22" s="37" t="s">
        <v>827</v>
      </c>
      <c r="E22" s="37" t="s">
        <v>828</v>
      </c>
      <c r="F22" s="37" t="s">
        <v>829</v>
      </c>
    </row>
    <row r="23" spans="1:6" ht="75">
      <c r="A23" s="229" t="s">
        <v>31</v>
      </c>
      <c r="B23" s="98" t="s">
        <v>108</v>
      </c>
      <c r="C23" s="98" t="s">
        <v>109</v>
      </c>
      <c r="D23" s="98" t="s">
        <v>1013</v>
      </c>
      <c r="E23" s="98" t="s">
        <v>964</v>
      </c>
      <c r="F23" s="98" t="s">
        <v>1014</v>
      </c>
    </row>
    <row r="24" spans="1:6" ht="105">
      <c r="A24" s="229" t="s">
        <v>32</v>
      </c>
      <c r="B24" s="98" t="s">
        <v>110</v>
      </c>
      <c r="C24" s="98" t="s">
        <v>111</v>
      </c>
      <c r="D24" s="98" t="s">
        <v>1016</v>
      </c>
      <c r="E24" s="98" t="s">
        <v>965</v>
      </c>
      <c r="F24" s="98" t="s">
        <v>1015</v>
      </c>
    </row>
    <row r="25" spans="1:6" ht="90">
      <c r="A25" s="229" t="s">
        <v>33</v>
      </c>
      <c r="B25" s="98" t="s">
        <v>38</v>
      </c>
      <c r="C25" s="98" t="s">
        <v>44</v>
      </c>
      <c r="D25" s="98" t="s">
        <v>1017</v>
      </c>
      <c r="E25" s="98" t="s">
        <v>964</v>
      </c>
      <c r="F25" s="98" t="s">
        <v>1018</v>
      </c>
    </row>
    <row r="26" spans="1:6" ht="105">
      <c r="A26" s="229" t="s">
        <v>34</v>
      </c>
      <c r="B26" s="98" t="s">
        <v>112</v>
      </c>
      <c r="C26" s="98" t="s">
        <v>113</v>
      </c>
      <c r="D26" s="98" t="s">
        <v>1019</v>
      </c>
      <c r="E26" s="98" t="s">
        <v>1020</v>
      </c>
      <c r="F26" s="98" t="s">
        <v>1021</v>
      </c>
    </row>
    <row r="27" spans="1:6" ht="30">
      <c r="A27" s="229" t="s">
        <v>35</v>
      </c>
      <c r="B27" s="98" t="s">
        <v>39</v>
      </c>
      <c r="C27" s="98" t="s">
        <v>45</v>
      </c>
      <c r="D27" s="98" t="s">
        <v>1022</v>
      </c>
      <c r="E27" s="98" t="s">
        <v>175</v>
      </c>
      <c r="F27" s="98" t="s">
        <v>1023</v>
      </c>
    </row>
    <row r="28" spans="1:6" ht="30">
      <c r="A28" s="229" t="s">
        <v>36</v>
      </c>
      <c r="B28" s="98" t="s">
        <v>40</v>
      </c>
      <c r="C28" s="98" t="s">
        <v>46</v>
      </c>
      <c r="D28" s="230" t="s">
        <v>976</v>
      </c>
      <c r="E28" s="98" t="s">
        <v>1024</v>
      </c>
      <c r="F28" s="98" t="s">
        <v>184</v>
      </c>
    </row>
    <row r="29" spans="1:6">
      <c r="A29" s="229" t="s">
        <v>37</v>
      </c>
      <c r="B29" s="98" t="s">
        <v>41</v>
      </c>
      <c r="C29" s="98" t="s">
        <v>47</v>
      </c>
      <c r="D29" s="98" t="s">
        <v>363</v>
      </c>
      <c r="E29" s="98" t="s">
        <v>166</v>
      </c>
      <c r="F29" s="98" t="s">
        <v>979</v>
      </c>
    </row>
    <row r="30" spans="1:6" ht="45">
      <c r="A30" s="229" t="s">
        <v>114</v>
      </c>
      <c r="B30" s="98" t="s">
        <v>42</v>
      </c>
      <c r="C30" s="98" t="s">
        <v>157</v>
      </c>
      <c r="D30" s="98" t="s">
        <v>1025</v>
      </c>
      <c r="E30" s="98" t="s">
        <v>1026</v>
      </c>
      <c r="F30" s="98" t="s">
        <v>1027</v>
      </c>
    </row>
    <row r="31" spans="1:6" ht="45">
      <c r="A31" s="229" t="s">
        <v>115</v>
      </c>
      <c r="B31" s="98" t="s">
        <v>43</v>
      </c>
      <c r="C31" s="98" t="s">
        <v>48</v>
      </c>
      <c r="D31" s="230" t="s">
        <v>976</v>
      </c>
      <c r="E31" s="98" t="s">
        <v>1026</v>
      </c>
      <c r="F31" s="98" t="s">
        <v>1028</v>
      </c>
    </row>
    <row r="32" spans="1:6" ht="45">
      <c r="A32" s="229" t="s">
        <v>116</v>
      </c>
      <c r="B32" s="98" t="s">
        <v>23</v>
      </c>
      <c r="C32" s="98" t="s">
        <v>153</v>
      </c>
      <c r="D32" s="98" t="s">
        <v>945</v>
      </c>
      <c r="E32" s="98" t="s">
        <v>974</v>
      </c>
      <c r="F32" s="98" t="s">
        <v>1029</v>
      </c>
    </row>
    <row r="34" spans="1:6">
      <c r="A34" s="258" t="s">
        <v>82</v>
      </c>
      <c r="B34" s="258"/>
      <c r="C34" s="258"/>
      <c r="D34" s="284" t="s">
        <v>893</v>
      </c>
      <c r="E34" s="285"/>
      <c r="F34" s="286"/>
    </row>
    <row r="35" spans="1:6">
      <c r="A35" s="41" t="s">
        <v>1</v>
      </c>
      <c r="B35" s="37" t="s">
        <v>2</v>
      </c>
      <c r="C35" s="37" t="s">
        <v>3</v>
      </c>
      <c r="D35" s="37" t="s">
        <v>827</v>
      </c>
      <c r="E35" s="37" t="s">
        <v>828</v>
      </c>
      <c r="F35" s="37" t="s">
        <v>829</v>
      </c>
    </row>
    <row r="36" spans="1:6" ht="45">
      <c r="A36" s="229" t="s">
        <v>49</v>
      </c>
      <c r="B36" s="98" t="s">
        <v>55</v>
      </c>
      <c r="C36" s="98" t="s">
        <v>156</v>
      </c>
      <c r="D36" s="98" t="s">
        <v>948</v>
      </c>
      <c r="E36" s="98" t="s">
        <v>1030</v>
      </c>
      <c r="F36" s="98" t="s">
        <v>1031</v>
      </c>
    </row>
    <row r="37" spans="1:6" ht="30">
      <c r="A37" s="229" t="s">
        <v>50</v>
      </c>
      <c r="B37" s="98" t="s">
        <v>5</v>
      </c>
      <c r="C37" s="98" t="s">
        <v>58</v>
      </c>
      <c r="D37" s="98" t="s">
        <v>949</v>
      </c>
      <c r="E37" s="98" t="s">
        <v>165</v>
      </c>
      <c r="F37" s="98" t="s">
        <v>1032</v>
      </c>
    </row>
    <row r="38" spans="1:6" ht="45">
      <c r="A38" s="229" t="s">
        <v>51</v>
      </c>
      <c r="B38" s="98" t="s">
        <v>6</v>
      </c>
      <c r="C38" s="98" t="s">
        <v>59</v>
      </c>
      <c r="D38" s="98" t="s">
        <v>950</v>
      </c>
      <c r="E38" s="98" t="s">
        <v>174</v>
      </c>
      <c r="F38" s="98" t="s">
        <v>1033</v>
      </c>
    </row>
    <row r="39" spans="1:6" ht="45">
      <c r="A39" s="229" t="s">
        <v>52</v>
      </c>
      <c r="B39" s="98" t="s">
        <v>7</v>
      </c>
      <c r="C39" s="98" t="s">
        <v>60</v>
      </c>
      <c r="D39" s="98" t="s">
        <v>353</v>
      </c>
      <c r="E39" s="98" t="s">
        <v>165</v>
      </c>
      <c r="F39" s="98" t="s">
        <v>1034</v>
      </c>
    </row>
    <row r="40" spans="1:6" ht="120">
      <c r="A40" s="229" t="s">
        <v>53</v>
      </c>
      <c r="B40" s="98" t="s">
        <v>56</v>
      </c>
      <c r="C40" s="98" t="s">
        <v>61</v>
      </c>
      <c r="D40" s="98" t="s">
        <v>1035</v>
      </c>
      <c r="E40" s="98" t="s">
        <v>1036</v>
      </c>
      <c r="F40" s="98" t="s">
        <v>1037</v>
      </c>
    </row>
    <row r="41" spans="1:6" ht="30">
      <c r="A41" s="229" t="s">
        <v>54</v>
      </c>
      <c r="B41" s="98" t="s">
        <v>57</v>
      </c>
      <c r="C41" s="98" t="s">
        <v>117</v>
      </c>
      <c r="D41" s="98" t="s">
        <v>1038</v>
      </c>
      <c r="E41" s="98" t="s">
        <v>165</v>
      </c>
      <c r="F41" s="98" t="s">
        <v>970</v>
      </c>
    </row>
    <row r="42" spans="1:6" ht="30">
      <c r="A42" s="229" t="s">
        <v>118</v>
      </c>
      <c r="B42" s="98" t="s">
        <v>119</v>
      </c>
      <c r="C42" s="98" t="s">
        <v>120</v>
      </c>
      <c r="D42" s="98" t="s">
        <v>951</v>
      </c>
      <c r="E42" s="98" t="s">
        <v>165</v>
      </c>
      <c r="F42" s="98" t="s">
        <v>1039</v>
      </c>
    </row>
    <row r="43" spans="1:6" ht="45">
      <c r="A43" s="229" t="s">
        <v>121</v>
      </c>
      <c r="B43" s="98" t="s">
        <v>122</v>
      </c>
      <c r="C43" s="98" t="s">
        <v>123</v>
      </c>
      <c r="D43" s="98" t="s">
        <v>952</v>
      </c>
      <c r="E43" s="98" t="s">
        <v>165</v>
      </c>
      <c r="F43" s="98" t="s">
        <v>197</v>
      </c>
    </row>
    <row r="44" spans="1:6" ht="105">
      <c r="A44" s="229" t="s">
        <v>124</v>
      </c>
      <c r="B44" s="98" t="s">
        <v>125</v>
      </c>
      <c r="C44" s="98" t="s">
        <v>126</v>
      </c>
      <c r="D44" s="98" t="s">
        <v>953</v>
      </c>
      <c r="E44" s="98" t="s">
        <v>974</v>
      </c>
      <c r="F44" s="98" t="s">
        <v>1040</v>
      </c>
    </row>
    <row r="46" spans="1:6">
      <c r="A46" s="258" t="s">
        <v>83</v>
      </c>
      <c r="B46" s="258"/>
      <c r="C46" s="284" t="s">
        <v>893</v>
      </c>
      <c r="D46" s="285"/>
      <c r="E46" s="286"/>
    </row>
    <row r="47" spans="1:6">
      <c r="A47" s="41" t="s">
        <v>1</v>
      </c>
      <c r="B47" s="37" t="s">
        <v>3</v>
      </c>
      <c r="C47" s="37" t="s">
        <v>827</v>
      </c>
      <c r="D47" s="37" t="s">
        <v>828</v>
      </c>
      <c r="E47" s="37" t="s">
        <v>829</v>
      </c>
    </row>
    <row r="48" spans="1:6">
      <c r="A48" s="229" t="s">
        <v>62</v>
      </c>
      <c r="B48" s="98" t="s">
        <v>127</v>
      </c>
      <c r="C48" s="98" t="s">
        <v>954</v>
      </c>
      <c r="D48" s="98" t="s">
        <v>170</v>
      </c>
      <c r="E48" s="98" t="s">
        <v>204</v>
      </c>
    </row>
    <row r="49" spans="1:5" ht="45">
      <c r="A49" s="229" t="s">
        <v>63</v>
      </c>
      <c r="B49" s="98" t="s">
        <v>68</v>
      </c>
      <c r="C49" s="98" t="s">
        <v>955</v>
      </c>
      <c r="D49" s="98" t="s">
        <v>169</v>
      </c>
      <c r="E49" s="98" t="s">
        <v>1041</v>
      </c>
    </row>
    <row r="50" spans="1:5" ht="30">
      <c r="A50" s="229" t="s">
        <v>64</v>
      </c>
      <c r="B50" s="98" t="s">
        <v>128</v>
      </c>
      <c r="C50" s="98" t="s">
        <v>381</v>
      </c>
      <c r="D50" s="230" t="s">
        <v>976</v>
      </c>
      <c r="E50" s="98" t="s">
        <v>207</v>
      </c>
    </row>
    <row r="51" spans="1:5" ht="60">
      <c r="A51" s="229" t="s">
        <v>65</v>
      </c>
      <c r="B51" s="98" t="s">
        <v>69</v>
      </c>
      <c r="C51" s="98" t="s">
        <v>956</v>
      </c>
      <c r="D51" s="98" t="s">
        <v>977</v>
      </c>
      <c r="E51" s="98" t="s">
        <v>1045</v>
      </c>
    </row>
    <row r="52" spans="1:5" ht="30">
      <c r="A52" s="229" t="s">
        <v>66</v>
      </c>
      <c r="B52" s="98" t="s">
        <v>129</v>
      </c>
      <c r="C52" s="98" t="s">
        <v>392</v>
      </c>
      <c r="D52" s="230" t="s">
        <v>976</v>
      </c>
      <c r="E52" s="98" t="s">
        <v>210</v>
      </c>
    </row>
    <row r="53" spans="1:5" ht="45">
      <c r="A53" s="229" t="s">
        <v>67</v>
      </c>
      <c r="B53" s="98" t="s">
        <v>70</v>
      </c>
      <c r="C53" s="98" t="s">
        <v>957</v>
      </c>
      <c r="D53" s="98" t="s">
        <v>173</v>
      </c>
      <c r="E53" s="98" t="s">
        <v>1046</v>
      </c>
    </row>
    <row r="54" spans="1:5">
      <c r="A54" s="229" t="s">
        <v>130</v>
      </c>
      <c r="B54" s="98" t="s">
        <v>131</v>
      </c>
      <c r="C54" s="98" t="s">
        <v>958</v>
      </c>
      <c r="D54" s="230" t="s">
        <v>976</v>
      </c>
      <c r="E54" s="98" t="s">
        <v>213</v>
      </c>
    </row>
    <row r="55" spans="1:5" ht="30">
      <c r="A55" s="229" t="s">
        <v>132</v>
      </c>
      <c r="B55" s="98" t="s">
        <v>73</v>
      </c>
      <c r="C55" s="98" t="s">
        <v>1042</v>
      </c>
      <c r="D55" s="98" t="s">
        <v>879</v>
      </c>
      <c r="E55" s="98" t="s">
        <v>1047</v>
      </c>
    </row>
    <row r="56" spans="1:5" ht="45">
      <c r="A56" s="229" t="s">
        <v>133</v>
      </c>
      <c r="B56" s="98" t="s">
        <v>71</v>
      </c>
      <c r="C56" s="98" t="s">
        <v>959</v>
      </c>
      <c r="D56" s="98" t="s">
        <v>978</v>
      </c>
      <c r="E56" s="98" t="s">
        <v>1048</v>
      </c>
    </row>
    <row r="57" spans="1:5" ht="30">
      <c r="A57" s="229" t="s">
        <v>134</v>
      </c>
      <c r="B57" s="98" t="s">
        <v>72</v>
      </c>
      <c r="C57" s="98" t="s">
        <v>960</v>
      </c>
      <c r="D57" s="98" t="s">
        <v>175</v>
      </c>
      <c r="E57" s="98" t="s">
        <v>1049</v>
      </c>
    </row>
    <row r="58" spans="1:5" ht="45">
      <c r="A58" s="229" t="s">
        <v>135</v>
      </c>
      <c r="B58" s="98" t="s">
        <v>136</v>
      </c>
      <c r="C58" s="98" t="s">
        <v>1044</v>
      </c>
      <c r="D58" s="98" t="s">
        <v>175</v>
      </c>
      <c r="E58" s="98" t="s">
        <v>1043</v>
      </c>
    </row>
    <row r="59" spans="1:5" ht="30">
      <c r="A59" s="229" t="s">
        <v>137</v>
      </c>
      <c r="B59" s="98" t="s">
        <v>138</v>
      </c>
      <c r="C59" s="230" t="s">
        <v>347</v>
      </c>
      <c r="D59" s="230" t="s">
        <v>976</v>
      </c>
      <c r="E59" s="98" t="s">
        <v>238</v>
      </c>
    </row>
    <row r="61" spans="1:5">
      <c r="A61" s="258" t="s">
        <v>84</v>
      </c>
      <c r="B61" s="258"/>
      <c r="C61" s="284" t="s">
        <v>893</v>
      </c>
      <c r="D61" s="285"/>
      <c r="E61" s="286"/>
    </row>
    <row r="62" spans="1:5">
      <c r="A62" s="41" t="s">
        <v>1</v>
      </c>
      <c r="B62" s="37" t="s">
        <v>3</v>
      </c>
      <c r="C62" s="37" t="s">
        <v>827</v>
      </c>
      <c r="D62" s="37" t="s">
        <v>828</v>
      </c>
      <c r="E62" s="37" t="s">
        <v>829</v>
      </c>
    </row>
    <row r="63" spans="1:5" ht="105">
      <c r="A63" s="229" t="s">
        <v>74</v>
      </c>
      <c r="B63" s="98" t="s">
        <v>77</v>
      </c>
      <c r="C63" s="98" t="s">
        <v>1050</v>
      </c>
      <c r="D63" s="98" t="s">
        <v>1051</v>
      </c>
      <c r="E63" s="98" t="s">
        <v>1052</v>
      </c>
    </row>
    <row r="64" spans="1:5" ht="210">
      <c r="A64" s="229" t="s">
        <v>75</v>
      </c>
      <c r="B64" s="98" t="s">
        <v>139</v>
      </c>
      <c r="C64" s="98" t="s">
        <v>1053</v>
      </c>
      <c r="D64" s="98" t="s">
        <v>1054</v>
      </c>
      <c r="E64" s="98" t="s">
        <v>1055</v>
      </c>
    </row>
    <row r="65" spans="1:9" ht="270">
      <c r="A65" s="229" t="s">
        <v>76</v>
      </c>
      <c r="B65" s="98" t="s">
        <v>78</v>
      </c>
      <c r="C65" s="98" t="s">
        <v>1057</v>
      </c>
      <c r="D65" s="98" t="s">
        <v>1058</v>
      </c>
      <c r="E65" s="98" t="s">
        <v>1059</v>
      </c>
      <c r="G65" s="2"/>
      <c r="H65" s="2"/>
      <c r="I65" s="2"/>
    </row>
    <row r="66" spans="1:9" ht="45">
      <c r="A66" s="229" t="s">
        <v>140</v>
      </c>
      <c r="B66" s="98" t="s">
        <v>154</v>
      </c>
      <c r="C66" s="98" t="s">
        <v>961</v>
      </c>
      <c r="D66" s="98" t="s">
        <v>167</v>
      </c>
      <c r="E66" s="98" t="s">
        <v>968</v>
      </c>
    </row>
    <row r="67" spans="1:9" ht="30">
      <c r="A67" s="229" t="s">
        <v>141</v>
      </c>
      <c r="B67" s="98" t="s">
        <v>142</v>
      </c>
      <c r="C67" s="98" t="s">
        <v>946</v>
      </c>
      <c r="D67" s="98" t="s">
        <v>841</v>
      </c>
      <c r="E67" s="98" t="s">
        <v>191</v>
      </c>
    </row>
    <row r="68" spans="1:9" ht="45">
      <c r="A68" s="229" t="s">
        <v>143</v>
      </c>
      <c r="B68" s="98" t="s">
        <v>144</v>
      </c>
      <c r="C68" s="98" t="s">
        <v>980</v>
      </c>
      <c r="D68" s="98" t="s">
        <v>1060</v>
      </c>
      <c r="E68" s="98" t="s">
        <v>1061</v>
      </c>
    </row>
    <row r="69" spans="1:9" ht="30">
      <c r="A69" s="229" t="s">
        <v>145</v>
      </c>
      <c r="B69" s="98" t="s">
        <v>146</v>
      </c>
      <c r="C69" s="98" t="s">
        <v>1062</v>
      </c>
      <c r="D69" s="98" t="s">
        <v>967</v>
      </c>
      <c r="E69" s="98" t="s">
        <v>1063</v>
      </c>
    </row>
    <row r="70" spans="1:9" ht="75">
      <c r="A70" s="229" t="s">
        <v>147</v>
      </c>
      <c r="B70" s="98" t="s">
        <v>148</v>
      </c>
      <c r="C70" s="230" t="s">
        <v>976</v>
      </c>
      <c r="D70" s="230" t="s">
        <v>976</v>
      </c>
      <c r="E70" s="98" t="s">
        <v>203</v>
      </c>
    </row>
    <row r="71" spans="1:9" ht="30">
      <c r="A71" s="229" t="s">
        <v>149</v>
      </c>
      <c r="B71" s="98" t="s">
        <v>150</v>
      </c>
      <c r="C71" s="230" t="s">
        <v>976</v>
      </c>
      <c r="D71" s="98" t="s">
        <v>844</v>
      </c>
      <c r="E71" s="98" t="s">
        <v>600</v>
      </c>
    </row>
    <row r="72" spans="1:9" ht="45">
      <c r="A72" s="229" t="s">
        <v>151</v>
      </c>
      <c r="B72" s="98" t="s">
        <v>158</v>
      </c>
      <c r="C72" s="98" t="s">
        <v>962</v>
      </c>
      <c r="D72" s="98" t="s">
        <v>168</v>
      </c>
      <c r="E72" s="98" t="s">
        <v>1064</v>
      </c>
    </row>
  </sheetData>
  <mergeCells count="10">
    <mergeCell ref="D1:F1"/>
    <mergeCell ref="D21:F21"/>
    <mergeCell ref="D34:F34"/>
    <mergeCell ref="C46:E46"/>
    <mergeCell ref="C61:E61"/>
    <mergeCell ref="A1:C1"/>
    <mergeCell ref="A21:C21"/>
    <mergeCell ref="A34:C34"/>
    <mergeCell ref="A46:B46"/>
    <mergeCell ref="A61:B61"/>
  </mergeCell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65"/>
  <sheetViews>
    <sheetView zoomScaleNormal="100" workbookViewId="0">
      <pane ySplit="1" topLeftCell="A62" activePane="bottomLeft" state="frozen"/>
      <selection pane="bottomLeft" sqref="A1:H65"/>
    </sheetView>
  </sheetViews>
  <sheetFormatPr defaultColWidth="9" defaultRowHeight="14.25"/>
  <cols>
    <col min="1" max="1" width="9" style="9"/>
    <col min="2" max="2" width="11.125" style="9" customWidth="1"/>
    <col min="3" max="3" width="21.875" style="9" customWidth="1"/>
    <col min="4" max="4" width="25.5" style="9" customWidth="1"/>
    <col min="5" max="5" width="18.5" style="9" customWidth="1"/>
    <col min="6" max="6" width="32.875" style="10" customWidth="1"/>
    <col min="7" max="7" width="17.375" style="10" customWidth="1"/>
    <col min="8" max="8" width="18.625" style="9" customWidth="1"/>
    <col min="9" max="16384" width="9" style="9"/>
  </cols>
  <sheetData>
    <row r="1" spans="1:8" ht="60.75" customHeight="1">
      <c r="A1" s="6" t="s">
        <v>159</v>
      </c>
      <c r="B1" s="6" t="s">
        <v>2</v>
      </c>
      <c r="C1" s="6" t="s">
        <v>160</v>
      </c>
      <c r="D1" s="6" t="s">
        <v>161</v>
      </c>
      <c r="E1" s="6" t="s">
        <v>162</v>
      </c>
      <c r="F1" s="6" t="s">
        <v>163</v>
      </c>
      <c r="G1" s="6" t="s">
        <v>894</v>
      </c>
      <c r="H1" s="6" t="s">
        <v>900</v>
      </c>
    </row>
    <row r="2" spans="1:8" ht="15">
      <c r="A2" s="288" t="s">
        <v>239</v>
      </c>
      <c r="B2" s="288"/>
      <c r="C2" s="288"/>
      <c r="D2" s="288"/>
      <c r="E2" s="288"/>
      <c r="F2" s="288"/>
      <c r="G2" s="288"/>
      <c r="H2" s="288"/>
    </row>
    <row r="3" spans="1:8" ht="57">
      <c r="A3" s="23" t="s">
        <v>240</v>
      </c>
      <c r="B3" s="23" t="s">
        <v>241</v>
      </c>
      <c r="C3" s="23" t="s">
        <v>242</v>
      </c>
      <c r="D3" s="23" t="s">
        <v>164</v>
      </c>
      <c r="E3" s="23" t="s">
        <v>243</v>
      </c>
      <c r="F3" s="23" t="s">
        <v>244</v>
      </c>
      <c r="G3" s="23" t="s">
        <v>895</v>
      </c>
      <c r="H3" s="24" t="s">
        <v>896</v>
      </c>
    </row>
    <row r="4" spans="1:8" ht="114">
      <c r="A4" s="23" t="s">
        <v>245</v>
      </c>
      <c r="B4" s="23" t="s">
        <v>246</v>
      </c>
      <c r="C4" s="23" t="s">
        <v>247</v>
      </c>
      <c r="D4" s="23" t="s">
        <v>248</v>
      </c>
      <c r="E4" s="23" t="s">
        <v>249</v>
      </c>
      <c r="F4" s="23" t="s">
        <v>250</v>
      </c>
      <c r="G4" s="23" t="s">
        <v>895</v>
      </c>
      <c r="H4" s="24" t="s">
        <v>896</v>
      </c>
    </row>
    <row r="5" spans="1:8" ht="57">
      <c r="A5" s="23" t="s">
        <v>251</v>
      </c>
      <c r="B5" s="23" t="s">
        <v>252</v>
      </c>
      <c r="C5" s="23" t="s">
        <v>253</v>
      </c>
      <c r="D5" s="23" t="s">
        <v>254</v>
      </c>
      <c r="E5" s="23" t="s">
        <v>255</v>
      </c>
      <c r="F5" s="23" t="s">
        <v>256</v>
      </c>
      <c r="G5" s="23" t="s">
        <v>895</v>
      </c>
      <c r="H5" s="24" t="s">
        <v>896</v>
      </c>
    </row>
    <row r="6" spans="1:8" ht="85.5">
      <c r="A6" s="23" t="s">
        <v>257</v>
      </c>
      <c r="B6" s="23" t="s">
        <v>258</v>
      </c>
      <c r="C6" s="23" t="s">
        <v>259</v>
      </c>
      <c r="D6" s="23" t="s">
        <v>260</v>
      </c>
      <c r="E6" s="23" t="s">
        <v>261</v>
      </c>
      <c r="F6" s="23" t="s">
        <v>262</v>
      </c>
      <c r="G6" s="23" t="s">
        <v>895</v>
      </c>
      <c r="H6" s="24" t="s">
        <v>896</v>
      </c>
    </row>
    <row r="7" spans="1:8" ht="114">
      <c r="A7" s="26" t="s">
        <v>263</v>
      </c>
      <c r="B7" s="26" t="s">
        <v>264</v>
      </c>
      <c r="C7" s="26" t="s">
        <v>265</v>
      </c>
      <c r="D7" s="26" t="s">
        <v>266</v>
      </c>
      <c r="E7" s="26" t="s">
        <v>267</v>
      </c>
      <c r="F7" s="26" t="s">
        <v>268</v>
      </c>
      <c r="G7" s="26" t="s">
        <v>903</v>
      </c>
      <c r="H7" s="27" t="s">
        <v>899</v>
      </c>
    </row>
    <row r="8" spans="1:8" ht="85.5">
      <c r="A8" s="26" t="s">
        <v>269</v>
      </c>
      <c r="B8" s="26" t="s">
        <v>270</v>
      </c>
      <c r="C8" s="26" t="s">
        <v>271</v>
      </c>
      <c r="D8" s="26" t="s">
        <v>272</v>
      </c>
      <c r="E8" s="26" t="s">
        <v>273</v>
      </c>
      <c r="F8" s="26" t="s">
        <v>274</v>
      </c>
      <c r="G8" s="26" t="s">
        <v>904</v>
      </c>
      <c r="H8" s="27" t="s">
        <v>899</v>
      </c>
    </row>
    <row r="9" spans="1:8" ht="114">
      <c r="A9" s="23" t="s">
        <v>275</v>
      </c>
      <c r="B9" s="23" t="s">
        <v>276</v>
      </c>
      <c r="C9" s="23" t="s">
        <v>271</v>
      </c>
      <c r="D9" s="23" t="s">
        <v>272</v>
      </c>
      <c r="E9" s="23" t="s">
        <v>277</v>
      </c>
      <c r="F9" s="23" t="s">
        <v>278</v>
      </c>
      <c r="G9" s="23" t="s">
        <v>895</v>
      </c>
      <c r="H9" s="24" t="s">
        <v>896</v>
      </c>
    </row>
    <row r="10" spans="1:8" ht="42.75">
      <c r="A10" s="23" t="s">
        <v>279</v>
      </c>
      <c r="B10" s="23" t="s">
        <v>280</v>
      </c>
      <c r="C10" s="23" t="s">
        <v>281</v>
      </c>
      <c r="D10" s="23" t="s">
        <v>272</v>
      </c>
      <c r="E10" s="23" t="s">
        <v>282</v>
      </c>
      <c r="F10" s="23" t="s">
        <v>283</v>
      </c>
      <c r="G10" s="23" t="s">
        <v>895</v>
      </c>
      <c r="H10" s="24" t="s">
        <v>896</v>
      </c>
    </row>
    <row r="11" spans="1:8" ht="57">
      <c r="A11" s="23" t="s">
        <v>284</v>
      </c>
      <c r="B11" s="23" t="s">
        <v>285</v>
      </c>
      <c r="C11" s="23" t="s">
        <v>281</v>
      </c>
      <c r="D11" s="23" t="s">
        <v>272</v>
      </c>
      <c r="E11" s="23" t="s">
        <v>286</v>
      </c>
      <c r="F11" s="23" t="s">
        <v>287</v>
      </c>
      <c r="G11" s="23" t="s">
        <v>895</v>
      </c>
      <c r="H11" s="24" t="s">
        <v>896</v>
      </c>
    </row>
    <row r="12" spans="1:8" ht="85.5">
      <c r="A12" s="23" t="s">
        <v>288</v>
      </c>
      <c r="B12" s="23" t="s">
        <v>289</v>
      </c>
      <c r="C12" s="23" t="s">
        <v>281</v>
      </c>
      <c r="D12" s="23" t="s">
        <v>290</v>
      </c>
      <c r="E12" s="23" t="s">
        <v>291</v>
      </c>
      <c r="F12" s="23" t="s">
        <v>292</v>
      </c>
      <c r="G12" s="23" t="s">
        <v>895</v>
      </c>
      <c r="H12" s="24" t="s">
        <v>896</v>
      </c>
    </row>
    <row r="13" spans="1:8" ht="85.5">
      <c r="A13" s="23" t="s">
        <v>293</v>
      </c>
      <c r="B13" s="23" t="s">
        <v>294</v>
      </c>
      <c r="C13" s="23" t="s">
        <v>281</v>
      </c>
      <c r="D13" s="23" t="s">
        <v>290</v>
      </c>
      <c r="E13" s="23" t="s">
        <v>295</v>
      </c>
      <c r="F13" s="23" t="s">
        <v>296</v>
      </c>
      <c r="G13" s="23" t="s">
        <v>895</v>
      </c>
      <c r="H13" s="24" t="s">
        <v>896</v>
      </c>
    </row>
    <row r="14" spans="1:8" ht="71.25">
      <c r="A14" s="23" t="s">
        <v>297</v>
      </c>
      <c r="B14" s="23" t="s">
        <v>298</v>
      </c>
      <c r="C14" s="23" t="s">
        <v>281</v>
      </c>
      <c r="D14" s="23" t="s">
        <v>299</v>
      </c>
      <c r="E14" s="23" t="s">
        <v>300</v>
      </c>
      <c r="F14" s="23" t="s">
        <v>301</v>
      </c>
      <c r="G14" s="23" t="s">
        <v>895</v>
      </c>
      <c r="H14" s="24" t="s">
        <v>896</v>
      </c>
    </row>
    <row r="15" spans="1:8" ht="128.25">
      <c r="A15" s="23" t="s">
        <v>302</v>
      </c>
      <c r="B15" s="23" t="s">
        <v>303</v>
      </c>
      <c r="C15" s="23" t="s">
        <v>281</v>
      </c>
      <c r="D15" s="23" t="s">
        <v>909</v>
      </c>
      <c r="E15" s="23" t="s">
        <v>304</v>
      </c>
      <c r="F15" s="23" t="s">
        <v>305</v>
      </c>
      <c r="G15" s="23" t="s">
        <v>910</v>
      </c>
      <c r="H15" s="24" t="s">
        <v>896</v>
      </c>
    </row>
    <row r="16" spans="1:8" ht="99.75">
      <c r="A16" s="23" t="s">
        <v>306</v>
      </c>
      <c r="B16" s="23" t="s">
        <v>307</v>
      </c>
      <c r="C16" s="23" t="s">
        <v>281</v>
      </c>
      <c r="D16" s="23" t="s">
        <v>909</v>
      </c>
      <c r="E16" s="23" t="s">
        <v>308</v>
      </c>
      <c r="F16" s="23" t="s">
        <v>309</v>
      </c>
      <c r="G16" s="23" t="s">
        <v>895</v>
      </c>
      <c r="H16" s="24" t="s">
        <v>896</v>
      </c>
    </row>
    <row r="17" spans="1:8" ht="99.75">
      <c r="A17" s="23" t="s">
        <v>310</v>
      </c>
      <c r="B17" s="23" t="s">
        <v>311</v>
      </c>
      <c r="C17" s="23" t="s">
        <v>281</v>
      </c>
      <c r="D17" s="23" t="s">
        <v>909</v>
      </c>
      <c r="E17" s="23" t="s">
        <v>312</v>
      </c>
      <c r="F17" s="23" t="s">
        <v>313</v>
      </c>
      <c r="G17" s="23" t="s">
        <v>907</v>
      </c>
      <c r="H17" s="24" t="s">
        <v>896</v>
      </c>
    </row>
    <row r="18" spans="1:8" ht="114">
      <c r="A18" s="23" t="s">
        <v>314</v>
      </c>
      <c r="B18" s="23" t="s">
        <v>315</v>
      </c>
      <c r="C18" s="23" t="s">
        <v>316</v>
      </c>
      <c r="D18" s="23" t="s">
        <v>317</v>
      </c>
      <c r="E18" s="23" t="s">
        <v>318</v>
      </c>
      <c r="F18" s="23" t="s">
        <v>319</v>
      </c>
      <c r="G18" s="23" t="s">
        <v>907</v>
      </c>
      <c r="H18" s="24" t="s">
        <v>898</v>
      </c>
    </row>
    <row r="19" spans="1:8" ht="99.75">
      <c r="A19" s="23" t="s">
        <v>320</v>
      </c>
      <c r="B19" s="23" t="s">
        <v>321</v>
      </c>
      <c r="C19" s="23" t="s">
        <v>164</v>
      </c>
      <c r="D19" s="23" t="s">
        <v>322</v>
      </c>
      <c r="E19" s="23" t="s">
        <v>323</v>
      </c>
      <c r="F19" s="23" t="s">
        <v>324</v>
      </c>
      <c r="G19" s="23" t="s">
        <v>907</v>
      </c>
      <c r="H19" s="24" t="s">
        <v>896</v>
      </c>
    </row>
    <row r="20" spans="1:8" ht="99.75">
      <c r="A20" s="23" t="s">
        <v>325</v>
      </c>
      <c r="B20" s="23" t="s">
        <v>326</v>
      </c>
      <c r="C20" s="23" t="s">
        <v>327</v>
      </c>
      <c r="D20" s="23" t="s">
        <v>328</v>
      </c>
      <c r="E20" s="23" t="s">
        <v>329</v>
      </c>
      <c r="F20" s="23" t="s">
        <v>330</v>
      </c>
      <c r="G20" s="23" t="s">
        <v>907</v>
      </c>
      <c r="H20" s="24" t="s">
        <v>896</v>
      </c>
    </row>
    <row r="21" spans="1:8" ht="99.75">
      <c r="A21" s="23" t="s">
        <v>331</v>
      </c>
      <c r="B21" s="23" t="s">
        <v>332</v>
      </c>
      <c r="C21" s="23" t="s">
        <v>333</v>
      </c>
      <c r="D21" s="23" t="s">
        <v>334</v>
      </c>
      <c r="E21" s="23" t="s">
        <v>335</v>
      </c>
      <c r="F21" s="23" t="s">
        <v>336</v>
      </c>
      <c r="G21" s="26" t="s">
        <v>911</v>
      </c>
      <c r="H21" s="27" t="s">
        <v>897</v>
      </c>
    </row>
    <row r="22" spans="1:8" ht="85.5">
      <c r="A22" s="26" t="s">
        <v>337</v>
      </c>
      <c r="B22" s="26" t="s">
        <v>338</v>
      </c>
      <c r="C22" s="26" t="s">
        <v>333</v>
      </c>
      <c r="D22" s="26" t="s">
        <v>339</v>
      </c>
      <c r="E22" s="26" t="s">
        <v>340</v>
      </c>
      <c r="F22" s="26" t="s">
        <v>341</v>
      </c>
      <c r="G22" s="26" t="s">
        <v>912</v>
      </c>
      <c r="H22" s="27" t="s">
        <v>899</v>
      </c>
    </row>
    <row r="23" spans="1:8" ht="57">
      <c r="A23" s="23" t="s">
        <v>342</v>
      </c>
      <c r="B23" s="23" t="s">
        <v>343</v>
      </c>
      <c r="C23" s="23" t="s">
        <v>333</v>
      </c>
      <c r="D23" s="23" t="s">
        <v>344</v>
      </c>
      <c r="E23" s="23" t="s">
        <v>345</v>
      </c>
      <c r="F23" s="23" t="s">
        <v>346</v>
      </c>
      <c r="G23" s="23" t="s">
        <v>907</v>
      </c>
      <c r="H23" s="24" t="s">
        <v>896</v>
      </c>
    </row>
    <row r="24" spans="1:8" ht="114">
      <c r="A24" s="23" t="s">
        <v>347</v>
      </c>
      <c r="B24" s="23" t="s">
        <v>348</v>
      </c>
      <c r="C24" s="23" t="s">
        <v>349</v>
      </c>
      <c r="D24" s="23" t="s">
        <v>350</v>
      </c>
      <c r="E24" s="23" t="s">
        <v>351</v>
      </c>
      <c r="F24" s="23" t="s">
        <v>352</v>
      </c>
      <c r="G24" s="23" t="s">
        <v>907</v>
      </c>
      <c r="H24" s="24" t="s">
        <v>896</v>
      </c>
    </row>
    <row r="25" spans="1:8" ht="85.5">
      <c r="A25" s="23" t="s">
        <v>353</v>
      </c>
      <c r="B25" s="23" t="s">
        <v>354</v>
      </c>
      <c r="C25" s="23" t="s">
        <v>265</v>
      </c>
      <c r="D25" s="23" t="s">
        <v>355</v>
      </c>
      <c r="E25" s="23" t="s">
        <v>356</v>
      </c>
      <c r="F25" s="23" t="s">
        <v>357</v>
      </c>
      <c r="G25" s="23" t="s">
        <v>907</v>
      </c>
      <c r="H25" s="24" t="s">
        <v>896</v>
      </c>
    </row>
    <row r="26" spans="1:8" ht="114">
      <c r="A26" s="23" t="s">
        <v>358</v>
      </c>
      <c r="B26" s="23" t="s">
        <v>359</v>
      </c>
      <c r="C26" s="23" t="s">
        <v>349</v>
      </c>
      <c r="D26" s="23" t="s">
        <v>360</v>
      </c>
      <c r="E26" s="23" t="s">
        <v>361</v>
      </c>
      <c r="F26" s="23" t="s">
        <v>362</v>
      </c>
      <c r="G26" s="23" t="s">
        <v>907</v>
      </c>
      <c r="H26" s="24" t="s">
        <v>896</v>
      </c>
    </row>
    <row r="27" spans="1:8" ht="142.5">
      <c r="A27" s="23" t="s">
        <v>363</v>
      </c>
      <c r="B27" s="23" t="s">
        <v>364</v>
      </c>
      <c r="C27" s="23" t="s">
        <v>265</v>
      </c>
      <c r="D27" s="23" t="s">
        <v>365</v>
      </c>
      <c r="E27" s="23" t="s">
        <v>366</v>
      </c>
      <c r="F27" s="23" t="s">
        <v>367</v>
      </c>
      <c r="G27" s="23" t="s">
        <v>907</v>
      </c>
      <c r="H27" s="24" t="s">
        <v>896</v>
      </c>
    </row>
    <row r="29" spans="1:8" ht="15">
      <c r="A29" s="289" t="s">
        <v>368</v>
      </c>
      <c r="B29" s="289"/>
      <c r="C29" s="289"/>
      <c r="D29" s="289"/>
      <c r="E29" s="289"/>
      <c r="F29" s="289"/>
      <c r="G29" s="289"/>
      <c r="H29" s="289"/>
    </row>
    <row r="30" spans="1:8" ht="60">
      <c r="A30" s="25" t="s">
        <v>159</v>
      </c>
      <c r="B30" s="25" t="s">
        <v>2</v>
      </c>
      <c r="C30" s="25" t="s">
        <v>160</v>
      </c>
      <c r="D30" s="25" t="s">
        <v>161</v>
      </c>
      <c r="E30" s="25" t="s">
        <v>162</v>
      </c>
      <c r="F30" s="25" t="s">
        <v>163</v>
      </c>
      <c r="G30" s="25" t="s">
        <v>894</v>
      </c>
      <c r="H30" s="25" t="s">
        <v>900</v>
      </c>
    </row>
    <row r="31" spans="1:8" ht="85.5">
      <c r="A31" s="30" t="s">
        <v>369</v>
      </c>
      <c r="B31" s="30" t="s">
        <v>370</v>
      </c>
      <c r="C31" s="30" t="s">
        <v>349</v>
      </c>
      <c r="D31" s="30" t="s">
        <v>371</v>
      </c>
      <c r="E31" s="30" t="s">
        <v>372</v>
      </c>
      <c r="F31" s="30" t="s">
        <v>373</v>
      </c>
      <c r="G31" s="23" t="s">
        <v>906</v>
      </c>
      <c r="H31" s="24" t="s">
        <v>896</v>
      </c>
    </row>
    <row r="32" spans="1:8" ht="85.5">
      <c r="A32" s="30" t="s">
        <v>374</v>
      </c>
      <c r="B32" s="30" t="s">
        <v>375</v>
      </c>
      <c r="C32" s="30" t="s">
        <v>349</v>
      </c>
      <c r="D32" s="30" t="s">
        <v>376</v>
      </c>
      <c r="E32" s="30" t="s">
        <v>261</v>
      </c>
      <c r="F32" s="30" t="s">
        <v>377</v>
      </c>
      <c r="G32" s="26" t="s">
        <v>914</v>
      </c>
      <c r="H32" s="27" t="s">
        <v>897</v>
      </c>
    </row>
    <row r="33" spans="1:8" ht="85.5">
      <c r="A33" s="30" t="s">
        <v>378</v>
      </c>
      <c r="B33" s="30" t="s">
        <v>379</v>
      </c>
      <c r="C33" s="30" t="s">
        <v>349</v>
      </c>
      <c r="D33" s="30" t="s">
        <v>380</v>
      </c>
      <c r="E33" s="30" t="s">
        <v>261</v>
      </c>
      <c r="F33" s="30" t="s">
        <v>377</v>
      </c>
      <c r="G33" s="23" t="s">
        <v>915</v>
      </c>
      <c r="H33" s="24" t="s">
        <v>896</v>
      </c>
    </row>
    <row r="34" spans="1:8" ht="85.5">
      <c r="A34" s="30" t="s">
        <v>381</v>
      </c>
      <c r="B34" s="30" t="s">
        <v>382</v>
      </c>
      <c r="C34" s="30" t="s">
        <v>349</v>
      </c>
      <c r="D34" s="30" t="s">
        <v>383</v>
      </c>
      <c r="E34" s="30" t="s">
        <v>261</v>
      </c>
      <c r="F34" s="30" t="s">
        <v>384</v>
      </c>
      <c r="G34" s="23" t="s">
        <v>906</v>
      </c>
      <c r="H34" s="24" t="s">
        <v>896</v>
      </c>
    </row>
    <row r="35" spans="1:8" ht="85.5">
      <c r="A35" s="30" t="s">
        <v>385</v>
      </c>
      <c r="B35" s="30" t="s">
        <v>386</v>
      </c>
      <c r="C35" s="30" t="s">
        <v>349</v>
      </c>
      <c r="D35" s="30" t="s">
        <v>387</v>
      </c>
      <c r="E35" s="30" t="s">
        <v>261</v>
      </c>
      <c r="F35" s="30" t="s">
        <v>388</v>
      </c>
      <c r="G35" s="23" t="s">
        <v>916</v>
      </c>
      <c r="H35" s="24" t="s">
        <v>896</v>
      </c>
    </row>
    <row r="36" spans="1:8" ht="85.5">
      <c r="A36" s="30" t="s">
        <v>389</v>
      </c>
      <c r="B36" s="30" t="s">
        <v>390</v>
      </c>
      <c r="C36" s="30" t="s">
        <v>349</v>
      </c>
      <c r="D36" s="30" t="s">
        <v>391</v>
      </c>
      <c r="E36" s="30" t="s">
        <v>261</v>
      </c>
      <c r="F36" s="30" t="s">
        <v>388</v>
      </c>
      <c r="G36" s="23" t="s">
        <v>916</v>
      </c>
      <c r="H36" s="24" t="s">
        <v>896</v>
      </c>
    </row>
    <row r="37" spans="1:8" ht="85.5">
      <c r="A37" s="30" t="s">
        <v>392</v>
      </c>
      <c r="B37" s="30" t="s">
        <v>393</v>
      </c>
      <c r="C37" s="30" t="s">
        <v>349</v>
      </c>
      <c r="D37" s="30" t="s">
        <v>394</v>
      </c>
      <c r="E37" s="30" t="s">
        <v>261</v>
      </c>
      <c r="F37" s="30" t="s">
        <v>395</v>
      </c>
      <c r="G37" s="23" t="s">
        <v>917</v>
      </c>
      <c r="H37" s="24" t="s">
        <v>896</v>
      </c>
    </row>
    <row r="38" spans="1:8" ht="85.5">
      <c r="A38" s="30" t="s">
        <v>396</v>
      </c>
      <c r="B38" s="30" t="s">
        <v>397</v>
      </c>
      <c r="C38" s="30" t="s">
        <v>349</v>
      </c>
      <c r="D38" s="30" t="s">
        <v>398</v>
      </c>
      <c r="E38" s="30" t="s">
        <v>261</v>
      </c>
      <c r="F38" s="30" t="s">
        <v>399</v>
      </c>
      <c r="G38" s="23" t="s">
        <v>917</v>
      </c>
      <c r="H38" s="24" t="s">
        <v>896</v>
      </c>
    </row>
    <row r="39" spans="1:8" ht="99.75">
      <c r="A39" s="30" t="s">
        <v>400</v>
      </c>
      <c r="B39" s="30" t="s">
        <v>401</v>
      </c>
      <c r="C39" s="30" t="s">
        <v>349</v>
      </c>
      <c r="D39" s="30" t="s">
        <v>402</v>
      </c>
      <c r="E39" s="30" t="s">
        <v>261</v>
      </c>
      <c r="F39" s="30" t="s">
        <v>399</v>
      </c>
      <c r="G39" s="23" t="s">
        <v>916</v>
      </c>
      <c r="H39" s="24" t="s">
        <v>896</v>
      </c>
    </row>
    <row r="40" spans="1:8" ht="99.75">
      <c r="A40" s="30" t="s">
        <v>403</v>
      </c>
      <c r="B40" s="30" t="s">
        <v>404</v>
      </c>
      <c r="C40" s="30" t="s">
        <v>349</v>
      </c>
      <c r="D40" s="30" t="s">
        <v>405</v>
      </c>
      <c r="E40" s="30" t="s">
        <v>261</v>
      </c>
      <c r="F40" s="30" t="s">
        <v>406</v>
      </c>
      <c r="G40" s="23" t="s">
        <v>917</v>
      </c>
      <c r="H40" s="24" t="s">
        <v>898</v>
      </c>
    </row>
    <row r="41" spans="1:8" ht="99.75">
      <c r="A41" s="30" t="s">
        <v>407</v>
      </c>
      <c r="B41" s="30" t="s">
        <v>408</v>
      </c>
      <c r="C41" s="30" t="s">
        <v>349</v>
      </c>
      <c r="D41" s="30" t="s">
        <v>409</v>
      </c>
      <c r="E41" s="30" t="s">
        <v>261</v>
      </c>
      <c r="F41" s="30" t="s">
        <v>410</v>
      </c>
      <c r="G41" s="23" t="s">
        <v>916</v>
      </c>
      <c r="H41" s="24" t="s">
        <v>896</v>
      </c>
    </row>
    <row r="42" spans="1:8" ht="85.5">
      <c r="A42" s="30" t="s">
        <v>411</v>
      </c>
      <c r="B42" s="30" t="s">
        <v>412</v>
      </c>
      <c r="C42" s="30" t="s">
        <v>349</v>
      </c>
      <c r="D42" s="30" t="s">
        <v>413</v>
      </c>
      <c r="E42" s="30" t="s">
        <v>261</v>
      </c>
      <c r="F42" s="30" t="s">
        <v>414</v>
      </c>
      <c r="G42" s="26" t="s">
        <v>918</v>
      </c>
      <c r="H42" s="27" t="s">
        <v>897</v>
      </c>
    </row>
    <row r="43" spans="1:8" ht="85.5">
      <c r="A43" s="30" t="s">
        <v>415</v>
      </c>
      <c r="B43" s="30" t="s">
        <v>416</v>
      </c>
      <c r="C43" s="30" t="s">
        <v>349</v>
      </c>
      <c r="D43" s="30" t="s">
        <v>417</v>
      </c>
      <c r="E43" s="30" t="s">
        <v>261</v>
      </c>
      <c r="F43" s="30" t="s">
        <v>414</v>
      </c>
      <c r="G43" s="23" t="s">
        <v>916</v>
      </c>
      <c r="H43" s="24" t="s">
        <v>898</v>
      </c>
    </row>
    <row r="44" spans="1:8" ht="85.5">
      <c r="A44" s="30" t="s">
        <v>418</v>
      </c>
      <c r="B44" s="30" t="s">
        <v>419</v>
      </c>
      <c r="C44" s="30" t="s">
        <v>349</v>
      </c>
      <c r="D44" s="30" t="s">
        <v>420</v>
      </c>
      <c r="E44" s="30" t="s">
        <v>261</v>
      </c>
      <c r="F44" s="30" t="s">
        <v>421</v>
      </c>
      <c r="G44" s="23" t="s">
        <v>916</v>
      </c>
      <c r="H44" s="24" t="s">
        <v>898</v>
      </c>
    </row>
    <row r="45" spans="1:8" ht="85.5">
      <c r="A45" s="30" t="s">
        <v>422</v>
      </c>
      <c r="B45" s="30" t="s">
        <v>423</v>
      </c>
      <c r="C45" s="30" t="s">
        <v>349</v>
      </c>
      <c r="D45" s="30" t="s">
        <v>424</v>
      </c>
      <c r="E45" s="30" t="s">
        <v>261</v>
      </c>
      <c r="F45" s="30" t="s">
        <v>421</v>
      </c>
      <c r="G45" s="23" t="s">
        <v>916</v>
      </c>
      <c r="H45" s="24" t="s">
        <v>898</v>
      </c>
    </row>
    <row r="46" spans="1:8" ht="85.5">
      <c r="A46" s="30" t="s">
        <v>425</v>
      </c>
      <c r="B46" s="30" t="s">
        <v>426</v>
      </c>
      <c r="C46" s="30" t="s">
        <v>427</v>
      </c>
      <c r="D46" s="30" t="s">
        <v>266</v>
      </c>
      <c r="E46" s="30" t="s">
        <v>428</v>
      </c>
      <c r="F46" s="30" t="s">
        <v>429</v>
      </c>
      <c r="G46" s="23" t="s">
        <v>919</v>
      </c>
      <c r="H46" s="24" t="s">
        <v>896</v>
      </c>
    </row>
    <row r="47" spans="1:8" ht="99.75">
      <c r="A47" s="30" t="s">
        <v>430</v>
      </c>
      <c r="B47" s="30" t="s">
        <v>431</v>
      </c>
      <c r="C47" s="30" t="s">
        <v>427</v>
      </c>
      <c r="D47" s="30" t="s">
        <v>405</v>
      </c>
      <c r="E47" s="30" t="s">
        <v>432</v>
      </c>
      <c r="F47" s="30" t="s">
        <v>433</v>
      </c>
      <c r="G47" s="23" t="s">
        <v>920</v>
      </c>
      <c r="H47" s="24" t="s">
        <v>896</v>
      </c>
    </row>
    <row r="48" spans="1:8" ht="99.75">
      <c r="A48" s="30" t="s">
        <v>434</v>
      </c>
      <c r="B48" s="30" t="s">
        <v>435</v>
      </c>
      <c r="C48" s="30" t="s">
        <v>327</v>
      </c>
      <c r="D48" s="30" t="s">
        <v>436</v>
      </c>
      <c r="E48" s="30" t="s">
        <v>437</v>
      </c>
      <c r="F48" s="30" t="s">
        <v>438</v>
      </c>
      <c r="G48" s="26" t="s">
        <v>921</v>
      </c>
      <c r="H48" s="27" t="s">
        <v>897</v>
      </c>
    </row>
    <row r="49" spans="1:8" ht="85.5">
      <c r="A49" s="30" t="s">
        <v>439</v>
      </c>
      <c r="B49" s="30" t="s">
        <v>440</v>
      </c>
      <c r="C49" s="30" t="s">
        <v>441</v>
      </c>
      <c r="D49" s="30" t="s">
        <v>442</v>
      </c>
      <c r="E49" s="30" t="s">
        <v>443</v>
      </c>
      <c r="F49" s="30" t="s">
        <v>444</v>
      </c>
      <c r="G49" s="23" t="s">
        <v>907</v>
      </c>
      <c r="H49" s="24" t="s">
        <v>898</v>
      </c>
    </row>
    <row r="50" spans="1:8" ht="85.5">
      <c r="A50" s="30" t="s">
        <v>445</v>
      </c>
      <c r="B50" s="30" t="s">
        <v>446</v>
      </c>
      <c r="C50" s="30" t="s">
        <v>349</v>
      </c>
      <c r="D50" s="30" t="s">
        <v>371</v>
      </c>
      <c r="E50" s="30" t="s">
        <v>447</v>
      </c>
      <c r="F50" s="30" t="s">
        <v>448</v>
      </c>
      <c r="G50" s="23" t="s">
        <v>922</v>
      </c>
      <c r="H50" s="24" t="s">
        <v>896</v>
      </c>
    </row>
    <row r="52" spans="1:8" ht="15">
      <c r="A52" s="289" t="s">
        <v>449</v>
      </c>
      <c r="B52" s="289"/>
      <c r="C52" s="289"/>
      <c r="D52" s="289"/>
      <c r="E52" s="289"/>
      <c r="F52" s="289"/>
      <c r="G52" s="289"/>
      <c r="H52" s="289"/>
    </row>
    <row r="53" spans="1:8" ht="60">
      <c r="A53" s="25" t="s">
        <v>159</v>
      </c>
      <c r="B53" s="25" t="s">
        <v>2</v>
      </c>
      <c r="C53" s="25" t="s">
        <v>160</v>
      </c>
      <c r="D53" s="25" t="s">
        <v>161</v>
      </c>
      <c r="E53" s="25" t="s">
        <v>162</v>
      </c>
      <c r="F53" s="25" t="s">
        <v>163</v>
      </c>
      <c r="G53" s="25" t="s">
        <v>894</v>
      </c>
      <c r="H53" s="25" t="s">
        <v>900</v>
      </c>
    </row>
    <row r="54" spans="1:8" ht="85.5">
      <c r="A54" s="30" t="s">
        <v>450</v>
      </c>
      <c r="B54" s="30" t="s">
        <v>451</v>
      </c>
      <c r="C54" s="30" t="s">
        <v>349</v>
      </c>
      <c r="D54" s="30" t="s">
        <v>452</v>
      </c>
      <c r="E54" s="30" t="s">
        <v>453</v>
      </c>
      <c r="F54" s="30" t="s">
        <v>454</v>
      </c>
      <c r="G54" s="23" t="s">
        <v>907</v>
      </c>
      <c r="H54" s="23" t="s">
        <v>896</v>
      </c>
    </row>
    <row r="55" spans="1:8" ht="99.75">
      <c r="A55" s="30" t="s">
        <v>455</v>
      </c>
      <c r="B55" s="30" t="s">
        <v>456</v>
      </c>
      <c r="C55" s="30" t="s">
        <v>349</v>
      </c>
      <c r="D55" s="30" t="s">
        <v>457</v>
      </c>
      <c r="E55" s="30" t="s">
        <v>453</v>
      </c>
      <c r="F55" s="30" t="s">
        <v>458</v>
      </c>
      <c r="G55" s="26" t="s">
        <v>923</v>
      </c>
      <c r="H55" s="27" t="s">
        <v>897</v>
      </c>
    </row>
    <row r="56" spans="1:8" ht="85.5">
      <c r="A56" s="30" t="s">
        <v>459</v>
      </c>
      <c r="B56" s="30" t="s">
        <v>460</v>
      </c>
      <c r="C56" s="30" t="s">
        <v>349</v>
      </c>
      <c r="D56" s="30" t="s">
        <v>461</v>
      </c>
      <c r="E56" s="30" t="s">
        <v>453</v>
      </c>
      <c r="F56" s="30" t="s">
        <v>462</v>
      </c>
      <c r="G56" s="23" t="s">
        <v>907</v>
      </c>
      <c r="H56" s="24" t="s">
        <v>898</v>
      </c>
    </row>
    <row r="57" spans="1:8" ht="85.5">
      <c r="A57" s="30" t="s">
        <v>463</v>
      </c>
      <c r="B57" s="30" t="s">
        <v>464</v>
      </c>
      <c r="C57" s="30" t="s">
        <v>349</v>
      </c>
      <c r="D57" s="30" t="s">
        <v>465</v>
      </c>
      <c r="E57" s="30" t="s">
        <v>453</v>
      </c>
      <c r="F57" s="30" t="s">
        <v>466</v>
      </c>
      <c r="G57" s="26" t="s">
        <v>924</v>
      </c>
      <c r="H57" s="27" t="s">
        <v>897</v>
      </c>
    </row>
    <row r="58" spans="1:8" ht="85.5">
      <c r="A58" s="30" t="s">
        <v>467</v>
      </c>
      <c r="B58" s="30" t="s">
        <v>468</v>
      </c>
      <c r="C58" s="30" t="s">
        <v>349</v>
      </c>
      <c r="D58" s="30" t="s">
        <v>365</v>
      </c>
      <c r="E58" s="30" t="s">
        <v>453</v>
      </c>
      <c r="F58" s="30" t="s">
        <v>469</v>
      </c>
      <c r="G58" s="23" t="s">
        <v>907</v>
      </c>
      <c r="H58" s="24" t="s">
        <v>898</v>
      </c>
    </row>
    <row r="59" spans="1:8" ht="85.5">
      <c r="A59" s="30" t="s">
        <v>470</v>
      </c>
      <c r="B59" s="30" t="s">
        <v>471</v>
      </c>
      <c r="C59" s="30" t="s">
        <v>349</v>
      </c>
      <c r="D59" s="30" t="s">
        <v>472</v>
      </c>
      <c r="E59" s="30" t="s">
        <v>361</v>
      </c>
      <c r="F59" s="30" t="s">
        <v>473</v>
      </c>
      <c r="G59" s="23" t="s">
        <v>907</v>
      </c>
      <c r="H59" s="24" t="s">
        <v>898</v>
      </c>
    </row>
    <row r="60" spans="1:8" ht="85.5">
      <c r="A60" s="30" t="s">
        <v>474</v>
      </c>
      <c r="B60" s="30" t="s">
        <v>475</v>
      </c>
      <c r="C60" s="30" t="s">
        <v>349</v>
      </c>
      <c r="D60" s="30" t="s">
        <v>476</v>
      </c>
      <c r="E60" s="30" t="s">
        <v>453</v>
      </c>
      <c r="F60" s="30" t="s">
        <v>477</v>
      </c>
      <c r="G60" s="23" t="s">
        <v>907</v>
      </c>
      <c r="H60" s="24" t="s">
        <v>898</v>
      </c>
    </row>
    <row r="61" spans="1:8" ht="85.5">
      <c r="A61" s="30" t="s">
        <v>478</v>
      </c>
      <c r="B61" s="30" t="s">
        <v>479</v>
      </c>
      <c r="C61" s="30" t="s">
        <v>349</v>
      </c>
      <c r="D61" s="30" t="s">
        <v>480</v>
      </c>
      <c r="E61" s="30" t="s">
        <v>453</v>
      </c>
      <c r="F61" s="30" t="s">
        <v>481</v>
      </c>
      <c r="G61" s="23" t="s">
        <v>907</v>
      </c>
      <c r="H61" s="24" t="s">
        <v>898</v>
      </c>
    </row>
    <row r="62" spans="1:8" ht="99.75">
      <c r="A62" s="30" t="s">
        <v>482</v>
      </c>
      <c r="B62" s="30" t="s">
        <v>483</v>
      </c>
      <c r="C62" s="30" t="s">
        <v>349</v>
      </c>
      <c r="D62" s="30" t="s">
        <v>484</v>
      </c>
      <c r="E62" s="30" t="s">
        <v>361</v>
      </c>
      <c r="F62" s="30" t="s">
        <v>485</v>
      </c>
      <c r="G62" s="23" t="s">
        <v>907</v>
      </c>
      <c r="H62" s="24" t="s">
        <v>898</v>
      </c>
    </row>
    <row r="63" spans="1:8" ht="156.75">
      <c r="A63" s="30" t="s">
        <v>486</v>
      </c>
      <c r="B63" s="30" t="s">
        <v>487</v>
      </c>
      <c r="C63" s="30" t="s">
        <v>349</v>
      </c>
      <c r="D63" s="30" t="s">
        <v>355</v>
      </c>
      <c r="E63" s="30" t="s">
        <v>488</v>
      </c>
      <c r="F63" s="30" t="s">
        <v>489</v>
      </c>
      <c r="G63" s="23" t="s">
        <v>907</v>
      </c>
      <c r="H63" s="24" t="s">
        <v>898</v>
      </c>
    </row>
    <row r="64" spans="1:8" ht="114">
      <c r="A64" s="30" t="s">
        <v>490</v>
      </c>
      <c r="B64" s="30" t="s">
        <v>491</v>
      </c>
      <c r="C64" s="30" t="s">
        <v>281</v>
      </c>
      <c r="D64" s="30" t="s">
        <v>492</v>
      </c>
      <c r="E64" s="30" t="s">
        <v>493</v>
      </c>
      <c r="F64" s="30" t="s">
        <v>494</v>
      </c>
      <c r="G64" s="23" t="s">
        <v>907</v>
      </c>
      <c r="H64" s="24" t="s">
        <v>898</v>
      </c>
    </row>
    <row r="65" spans="1:8" ht="85.5">
      <c r="A65" s="30" t="s">
        <v>495</v>
      </c>
      <c r="B65" s="30" t="s">
        <v>496</v>
      </c>
      <c r="C65" s="30" t="s">
        <v>281</v>
      </c>
      <c r="D65" s="30" t="s">
        <v>492</v>
      </c>
      <c r="E65" s="30" t="s">
        <v>291</v>
      </c>
      <c r="F65" s="30" t="s">
        <v>497</v>
      </c>
      <c r="G65" s="23" t="s">
        <v>907</v>
      </c>
      <c r="H65" s="24" t="s">
        <v>898</v>
      </c>
    </row>
  </sheetData>
  <mergeCells count="3">
    <mergeCell ref="A2:H2"/>
    <mergeCell ref="A29:H29"/>
    <mergeCell ref="A52:H52"/>
  </mergeCell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23"/>
  <sheetViews>
    <sheetView topLeftCell="A14" zoomScaleNormal="100" workbookViewId="0">
      <selection sqref="A1:H23"/>
    </sheetView>
  </sheetViews>
  <sheetFormatPr defaultColWidth="11" defaultRowHeight="15.75" customHeight="1"/>
  <cols>
    <col min="1" max="1" width="20.25" bestFit="1" customWidth="1"/>
    <col min="2" max="2" width="22.75" customWidth="1"/>
    <col min="3" max="3" width="15" customWidth="1"/>
    <col min="4" max="4" width="16.875" customWidth="1"/>
    <col min="5" max="5" width="19.625" customWidth="1"/>
    <col min="6" max="6" width="42.875" style="7" customWidth="1"/>
  </cols>
  <sheetData>
    <row r="1" spans="1:8" ht="15.75" customHeight="1">
      <c r="A1" s="288" t="s">
        <v>239</v>
      </c>
      <c r="B1" s="288"/>
      <c r="C1" s="288"/>
      <c r="D1" s="288"/>
      <c r="E1" s="288"/>
      <c r="F1" s="288"/>
      <c r="G1" s="288"/>
      <c r="H1" s="288"/>
    </row>
    <row r="2" spans="1:8" ht="25.5">
      <c r="A2" s="8" t="s">
        <v>159</v>
      </c>
      <c r="B2" s="8" t="s">
        <v>2</v>
      </c>
      <c r="C2" s="8" t="s">
        <v>160</v>
      </c>
      <c r="D2" s="8" t="s">
        <v>161</v>
      </c>
      <c r="E2" s="8" t="s">
        <v>162</v>
      </c>
      <c r="F2" s="8" t="s">
        <v>163</v>
      </c>
      <c r="G2" s="8" t="s">
        <v>901</v>
      </c>
      <c r="H2" s="8" t="s">
        <v>902</v>
      </c>
    </row>
    <row r="3" spans="1:8" ht="127.5">
      <c r="A3" s="21" t="s">
        <v>165</v>
      </c>
      <c r="B3" s="21" t="s">
        <v>835</v>
      </c>
      <c r="C3" s="21" t="s">
        <v>836</v>
      </c>
      <c r="D3" s="21" t="s">
        <v>848</v>
      </c>
      <c r="E3" s="21" t="s">
        <v>849</v>
      </c>
      <c r="F3" s="21" t="s">
        <v>850</v>
      </c>
      <c r="G3" s="23" t="s">
        <v>895</v>
      </c>
      <c r="H3" s="24" t="s">
        <v>896</v>
      </c>
    </row>
    <row r="4" spans="1:8" ht="102">
      <c r="A4" s="21" t="s">
        <v>166</v>
      </c>
      <c r="B4" s="21" t="s">
        <v>837</v>
      </c>
      <c r="C4" s="21" t="s">
        <v>805</v>
      </c>
      <c r="D4" s="21" t="s">
        <v>851</v>
      </c>
      <c r="E4" s="21" t="s">
        <v>852</v>
      </c>
      <c r="F4" s="21" t="s">
        <v>853</v>
      </c>
      <c r="G4" s="23" t="s">
        <v>895</v>
      </c>
      <c r="H4" s="23" t="s">
        <v>896</v>
      </c>
    </row>
    <row r="5" spans="1:8" ht="76.5">
      <c r="A5" s="21" t="s">
        <v>167</v>
      </c>
      <c r="B5" s="21" t="s">
        <v>838</v>
      </c>
      <c r="C5" s="21" t="s">
        <v>839</v>
      </c>
      <c r="D5" s="21" t="s">
        <v>840</v>
      </c>
      <c r="E5" s="21" t="s">
        <v>854</v>
      </c>
      <c r="F5" s="21" t="s">
        <v>855</v>
      </c>
      <c r="G5" s="23" t="s">
        <v>895</v>
      </c>
      <c r="H5" s="23" t="s">
        <v>896</v>
      </c>
    </row>
    <row r="6" spans="1:8" ht="76.5">
      <c r="A6" s="21" t="s">
        <v>841</v>
      </c>
      <c r="B6" s="21" t="s">
        <v>842</v>
      </c>
      <c r="C6" s="21" t="s">
        <v>843</v>
      </c>
      <c r="D6" s="21" t="s">
        <v>856</v>
      </c>
      <c r="E6" s="21" t="s">
        <v>857</v>
      </c>
      <c r="F6" s="21" t="s">
        <v>858</v>
      </c>
      <c r="G6" s="23" t="s">
        <v>895</v>
      </c>
      <c r="H6" s="23" t="s">
        <v>896</v>
      </c>
    </row>
    <row r="7" spans="1:8" ht="51">
      <c r="A7" s="21" t="s">
        <v>844</v>
      </c>
      <c r="B7" s="21" t="s">
        <v>845</v>
      </c>
      <c r="C7" s="21" t="s">
        <v>805</v>
      </c>
      <c r="D7" s="21" t="s">
        <v>846</v>
      </c>
      <c r="E7" s="21" t="s">
        <v>859</v>
      </c>
      <c r="F7" s="21" t="s">
        <v>847</v>
      </c>
      <c r="G7" s="23" t="s">
        <v>895</v>
      </c>
      <c r="H7" s="23" t="s">
        <v>896</v>
      </c>
    </row>
    <row r="8" spans="1:8" ht="15">
      <c r="A8" s="283" t="s">
        <v>368</v>
      </c>
      <c r="B8" s="283"/>
      <c r="C8" s="283"/>
      <c r="D8" s="283"/>
      <c r="E8" s="283"/>
      <c r="F8" s="283"/>
      <c r="G8" s="283"/>
      <c r="H8" s="283"/>
    </row>
    <row r="9" spans="1:8" ht="15.75" customHeight="1">
      <c r="A9" s="28" t="s">
        <v>159</v>
      </c>
      <c r="B9" s="28" t="s">
        <v>2</v>
      </c>
      <c r="C9" s="28" t="s">
        <v>160</v>
      </c>
      <c r="D9" s="28" t="s">
        <v>161</v>
      </c>
      <c r="E9" s="29" t="s">
        <v>162</v>
      </c>
      <c r="F9" s="28" t="s">
        <v>163</v>
      </c>
      <c r="G9" s="12"/>
      <c r="H9" s="12"/>
    </row>
    <row r="10" spans="1:8" ht="63.75">
      <c r="A10" s="21" t="s">
        <v>168</v>
      </c>
      <c r="B10" s="21" t="s">
        <v>860</v>
      </c>
      <c r="C10" s="21" t="s">
        <v>805</v>
      </c>
      <c r="D10" s="21" t="s">
        <v>861</v>
      </c>
      <c r="E10" s="21" t="s">
        <v>862</v>
      </c>
      <c r="F10" s="21" t="s">
        <v>863</v>
      </c>
      <c r="G10" s="23" t="s">
        <v>895</v>
      </c>
      <c r="H10" s="24" t="s">
        <v>896</v>
      </c>
    </row>
    <row r="11" spans="1:8" ht="63.75">
      <c r="A11" s="21" t="s">
        <v>169</v>
      </c>
      <c r="B11" s="21" t="s">
        <v>864</v>
      </c>
      <c r="C11" s="21" t="s">
        <v>865</v>
      </c>
      <c r="D11" s="21" t="s">
        <v>866</v>
      </c>
      <c r="E11" s="21" t="s">
        <v>867</v>
      </c>
      <c r="F11" s="21" t="s">
        <v>868</v>
      </c>
      <c r="G11" s="21" t="s">
        <v>905</v>
      </c>
      <c r="H11" s="24" t="s">
        <v>896</v>
      </c>
    </row>
    <row r="12" spans="1:8" ht="63.75">
      <c r="A12" s="21" t="s">
        <v>170</v>
      </c>
      <c r="B12" s="21" t="s">
        <v>869</v>
      </c>
      <c r="C12" s="21" t="s">
        <v>865</v>
      </c>
      <c r="D12" s="21" t="s">
        <v>870</v>
      </c>
      <c r="E12" s="21" t="s">
        <v>871</v>
      </c>
      <c r="F12" s="21" t="s">
        <v>872</v>
      </c>
      <c r="G12" s="21" t="s">
        <v>906</v>
      </c>
      <c r="H12" s="24" t="s">
        <v>896</v>
      </c>
    </row>
    <row r="13" spans="1:8" ht="63.75">
      <c r="A13" s="21" t="s">
        <v>171</v>
      </c>
      <c r="B13" s="21" t="s">
        <v>873</v>
      </c>
      <c r="C13" s="21" t="s">
        <v>865</v>
      </c>
      <c r="D13" s="21" t="s">
        <v>874</v>
      </c>
      <c r="E13" s="21" t="s">
        <v>867</v>
      </c>
      <c r="F13" s="21" t="s">
        <v>875</v>
      </c>
      <c r="G13" s="21" t="s">
        <v>905</v>
      </c>
      <c r="H13" s="24" t="s">
        <v>896</v>
      </c>
    </row>
    <row r="14" spans="1:8" ht="51">
      <c r="A14" s="22" t="s">
        <v>172</v>
      </c>
      <c r="B14" s="22" t="s">
        <v>876</v>
      </c>
      <c r="C14" s="22" t="s">
        <v>865</v>
      </c>
      <c r="D14" s="22" t="s">
        <v>877</v>
      </c>
      <c r="E14" s="22" t="s">
        <v>867</v>
      </c>
      <c r="F14" s="22" t="s">
        <v>878</v>
      </c>
      <c r="G14" s="22" t="s">
        <v>1268</v>
      </c>
      <c r="H14" s="27" t="s">
        <v>897</v>
      </c>
    </row>
    <row r="15" spans="1:8" ht="63.75">
      <c r="A15" s="21" t="s">
        <v>879</v>
      </c>
      <c r="B15" s="21" t="s">
        <v>880</v>
      </c>
      <c r="C15" s="21" t="s">
        <v>865</v>
      </c>
      <c r="D15" s="21" t="s">
        <v>881</v>
      </c>
      <c r="E15" s="21" t="s">
        <v>867</v>
      </c>
      <c r="F15" s="21" t="s">
        <v>882</v>
      </c>
      <c r="G15" s="21" t="s">
        <v>905</v>
      </c>
      <c r="H15" s="24" t="s">
        <v>896</v>
      </c>
    </row>
    <row r="17" spans="1:8" ht="15.75" customHeight="1">
      <c r="A17" s="289" t="s">
        <v>724</v>
      </c>
      <c r="B17" s="289"/>
      <c r="C17" s="289"/>
      <c r="D17" s="289"/>
      <c r="E17" s="289"/>
      <c r="F17" s="289"/>
      <c r="G17" s="289"/>
      <c r="H17" s="289"/>
    </row>
    <row r="18" spans="1:8" ht="14.25">
      <c r="A18" s="28" t="s">
        <v>159</v>
      </c>
      <c r="B18" s="28" t="s">
        <v>2</v>
      </c>
      <c r="C18" s="28" t="s">
        <v>160</v>
      </c>
      <c r="D18" s="28" t="s">
        <v>161</v>
      </c>
      <c r="E18" s="28" t="s">
        <v>162</v>
      </c>
      <c r="F18" s="28" t="s">
        <v>163</v>
      </c>
      <c r="G18" s="11"/>
      <c r="H18" s="11"/>
    </row>
    <row r="19" spans="1:8" ht="63.75">
      <c r="A19" s="21" t="s">
        <v>173</v>
      </c>
      <c r="B19" s="21" t="s">
        <v>804</v>
      </c>
      <c r="C19" s="21" t="s">
        <v>805</v>
      </c>
      <c r="D19" s="21" t="s">
        <v>806</v>
      </c>
      <c r="E19" s="21" t="s">
        <v>807</v>
      </c>
      <c r="F19" s="21" t="s">
        <v>808</v>
      </c>
      <c r="G19" s="23" t="s">
        <v>907</v>
      </c>
      <c r="H19" s="24" t="s">
        <v>896</v>
      </c>
    </row>
    <row r="20" spans="1:8" ht="63.75">
      <c r="A20" s="21" t="s">
        <v>174</v>
      </c>
      <c r="B20" s="21" t="s">
        <v>809</v>
      </c>
      <c r="C20" s="21" t="s">
        <v>805</v>
      </c>
      <c r="D20" s="21" t="s">
        <v>810</v>
      </c>
      <c r="E20" s="21" t="s">
        <v>807</v>
      </c>
      <c r="F20" s="21" t="s">
        <v>811</v>
      </c>
      <c r="G20" s="23" t="s">
        <v>907</v>
      </c>
      <c r="H20" s="24" t="s">
        <v>896</v>
      </c>
    </row>
    <row r="21" spans="1:8" ht="51">
      <c r="A21" s="21" t="s">
        <v>175</v>
      </c>
      <c r="B21" s="21" t="s">
        <v>812</v>
      </c>
      <c r="C21" s="21" t="s">
        <v>805</v>
      </c>
      <c r="D21" s="21" t="s">
        <v>813</v>
      </c>
      <c r="E21" s="21" t="s">
        <v>807</v>
      </c>
      <c r="F21" s="21" t="s">
        <v>814</v>
      </c>
      <c r="G21" s="23" t="s">
        <v>907</v>
      </c>
      <c r="H21" s="24" t="s">
        <v>896</v>
      </c>
    </row>
    <row r="22" spans="1:8" ht="63.75">
      <c r="A22" s="21" t="s">
        <v>176</v>
      </c>
      <c r="B22" s="21" t="s">
        <v>815</v>
      </c>
      <c r="C22" s="21" t="s">
        <v>805</v>
      </c>
      <c r="D22" s="21" t="s">
        <v>816</v>
      </c>
      <c r="E22" s="21" t="s">
        <v>807</v>
      </c>
      <c r="F22" s="21" t="s">
        <v>817</v>
      </c>
      <c r="G22" s="23" t="s">
        <v>907</v>
      </c>
      <c r="H22" s="24" t="s">
        <v>896</v>
      </c>
    </row>
    <row r="23" spans="1:8" ht="76.5">
      <c r="A23" s="22" t="s">
        <v>177</v>
      </c>
      <c r="B23" s="22" t="s">
        <v>818</v>
      </c>
      <c r="C23" s="22" t="s">
        <v>805</v>
      </c>
      <c r="D23" s="22" t="s">
        <v>819</v>
      </c>
      <c r="E23" s="22" t="s">
        <v>807</v>
      </c>
      <c r="F23" s="22" t="s">
        <v>820</v>
      </c>
      <c r="G23" s="26" t="s">
        <v>908</v>
      </c>
      <c r="H23" s="26" t="s">
        <v>971</v>
      </c>
    </row>
  </sheetData>
  <mergeCells count="3">
    <mergeCell ref="A1:H1"/>
    <mergeCell ref="A8:H8"/>
    <mergeCell ref="A17:H17"/>
  </mergeCells>
  <pageMargins left="0.7" right="0.7" top="0.75" bottom="0.75" header="0.3" footer="0.3"/>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81"/>
  <sheetViews>
    <sheetView topLeftCell="A76" workbookViewId="0">
      <selection activeCell="D87" sqref="D87"/>
    </sheetView>
  </sheetViews>
  <sheetFormatPr defaultRowHeight="14.25"/>
  <cols>
    <col min="1" max="1" width="17.125" customWidth="1"/>
    <col min="2" max="2" width="21.625" bestFit="1" customWidth="1"/>
    <col min="3" max="3" width="21.5" bestFit="1" customWidth="1"/>
    <col min="4" max="4" width="22.875" customWidth="1"/>
    <col min="5" max="5" width="19.625" customWidth="1"/>
    <col min="6" max="6" width="24" customWidth="1"/>
    <col min="7" max="7" width="12.625" customWidth="1"/>
  </cols>
  <sheetData>
    <row r="1" spans="1:8">
      <c r="A1" s="279" t="s">
        <v>239</v>
      </c>
      <c r="B1" s="279"/>
      <c r="C1" s="279"/>
      <c r="D1" s="279"/>
      <c r="E1" s="279"/>
      <c r="F1" s="279"/>
      <c r="G1" s="279"/>
      <c r="H1" s="279"/>
    </row>
    <row r="2" spans="1:8" ht="25.5">
      <c r="A2" s="31" t="s">
        <v>159</v>
      </c>
      <c r="B2" s="31" t="s">
        <v>2</v>
      </c>
      <c r="C2" s="31" t="s">
        <v>160</v>
      </c>
      <c r="D2" s="31" t="s">
        <v>161</v>
      </c>
      <c r="E2" s="31" t="s">
        <v>162</v>
      </c>
      <c r="F2" s="31" t="s">
        <v>163</v>
      </c>
      <c r="G2" s="31" t="s">
        <v>925</v>
      </c>
      <c r="H2" s="31" t="s">
        <v>902</v>
      </c>
    </row>
    <row r="3" spans="1:8" ht="89.25">
      <c r="A3" s="32" t="s">
        <v>178</v>
      </c>
      <c r="B3" s="32" t="s">
        <v>498</v>
      </c>
      <c r="C3" s="32" t="s">
        <v>499</v>
      </c>
      <c r="D3" s="32" t="s">
        <v>500</v>
      </c>
      <c r="E3" s="32" t="s">
        <v>501</v>
      </c>
      <c r="F3" s="32" t="s">
        <v>502</v>
      </c>
      <c r="G3" s="23" t="s">
        <v>895</v>
      </c>
      <c r="H3" s="23" t="s">
        <v>896</v>
      </c>
    </row>
    <row r="4" spans="1:8" ht="51">
      <c r="A4" s="32" t="s">
        <v>179</v>
      </c>
      <c r="B4" s="32" t="s">
        <v>503</v>
      </c>
      <c r="C4" s="32" t="s">
        <v>504</v>
      </c>
      <c r="D4" s="32" t="s">
        <v>505</v>
      </c>
      <c r="E4" s="32" t="s">
        <v>506</v>
      </c>
      <c r="F4" s="32" t="s">
        <v>507</v>
      </c>
      <c r="G4" s="23" t="s">
        <v>895</v>
      </c>
      <c r="H4" s="23" t="s">
        <v>896</v>
      </c>
    </row>
    <row r="5" spans="1:8" ht="51">
      <c r="A5" s="32" t="s">
        <v>180</v>
      </c>
      <c r="B5" s="32" t="s">
        <v>508</v>
      </c>
      <c r="C5" s="32" t="s">
        <v>504</v>
      </c>
      <c r="D5" s="32" t="s">
        <v>509</v>
      </c>
      <c r="E5" s="32" t="s">
        <v>510</v>
      </c>
      <c r="F5" s="32" t="s">
        <v>511</v>
      </c>
      <c r="G5" s="23" t="s">
        <v>895</v>
      </c>
      <c r="H5" s="23" t="s">
        <v>896</v>
      </c>
    </row>
    <row r="6" spans="1:8" ht="51">
      <c r="A6" s="32" t="s">
        <v>181</v>
      </c>
      <c r="B6" s="32" t="s">
        <v>512</v>
      </c>
      <c r="C6" s="32" t="s">
        <v>504</v>
      </c>
      <c r="D6" s="32" t="s">
        <v>513</v>
      </c>
      <c r="E6" s="32" t="s">
        <v>514</v>
      </c>
      <c r="F6" s="32" t="s">
        <v>515</v>
      </c>
      <c r="G6" s="23" t="s">
        <v>895</v>
      </c>
      <c r="H6" s="23" t="s">
        <v>896</v>
      </c>
    </row>
    <row r="7" spans="1:8" ht="63.75">
      <c r="A7" s="32" t="s">
        <v>182</v>
      </c>
      <c r="B7" s="32" t="s">
        <v>516</v>
      </c>
      <c r="C7" s="32" t="s">
        <v>504</v>
      </c>
      <c r="D7" s="32" t="s">
        <v>517</v>
      </c>
      <c r="E7" s="32" t="s">
        <v>518</v>
      </c>
      <c r="F7" s="32" t="s">
        <v>519</v>
      </c>
      <c r="G7" s="23" t="s">
        <v>895</v>
      </c>
      <c r="H7" s="23" t="s">
        <v>896</v>
      </c>
    </row>
    <row r="8" spans="1:8" ht="89.25">
      <c r="A8" s="32" t="s">
        <v>184</v>
      </c>
      <c r="B8" s="32" t="s">
        <v>520</v>
      </c>
      <c r="C8" s="32" t="s">
        <v>521</v>
      </c>
      <c r="D8" s="32" t="s">
        <v>522</v>
      </c>
      <c r="E8" s="32" t="s">
        <v>523</v>
      </c>
      <c r="F8" s="32" t="s">
        <v>524</v>
      </c>
      <c r="G8" s="23" t="s">
        <v>895</v>
      </c>
      <c r="H8" s="23" t="s">
        <v>896</v>
      </c>
    </row>
    <row r="9" spans="1:8" ht="63.75">
      <c r="A9" s="32" t="s">
        <v>185</v>
      </c>
      <c r="B9" s="32" t="s">
        <v>525</v>
      </c>
      <c r="C9" s="32" t="s">
        <v>521</v>
      </c>
      <c r="D9" s="32" t="s">
        <v>526</v>
      </c>
      <c r="E9" s="32" t="s">
        <v>527</v>
      </c>
      <c r="F9" s="32" t="s">
        <v>528</v>
      </c>
      <c r="G9" s="23" t="s">
        <v>895</v>
      </c>
      <c r="H9" s="23" t="s">
        <v>896</v>
      </c>
    </row>
    <row r="10" spans="1:8" ht="63.75">
      <c r="A10" s="32" t="s">
        <v>186</v>
      </c>
      <c r="B10" s="32" t="s">
        <v>529</v>
      </c>
      <c r="C10" s="32" t="s">
        <v>530</v>
      </c>
      <c r="D10" s="32" t="s">
        <v>522</v>
      </c>
      <c r="E10" s="32" t="s">
        <v>531</v>
      </c>
      <c r="F10" s="32" t="s">
        <v>532</v>
      </c>
      <c r="G10" s="23" t="s">
        <v>895</v>
      </c>
      <c r="H10" s="23" t="s">
        <v>896</v>
      </c>
    </row>
    <row r="11" spans="1:8" ht="51">
      <c r="A11" s="32" t="s">
        <v>187</v>
      </c>
      <c r="B11" s="32" t="s">
        <v>533</v>
      </c>
      <c r="C11" s="32" t="s">
        <v>530</v>
      </c>
      <c r="D11" s="32" t="s">
        <v>534</v>
      </c>
      <c r="E11" s="32" t="s">
        <v>535</v>
      </c>
      <c r="F11" s="32" t="s">
        <v>536</v>
      </c>
      <c r="G11" s="23" t="s">
        <v>895</v>
      </c>
      <c r="H11" s="23" t="s">
        <v>896</v>
      </c>
    </row>
    <row r="12" spans="1:8" ht="63.75">
      <c r="A12" s="32" t="s">
        <v>188</v>
      </c>
      <c r="B12" s="32" t="s">
        <v>537</v>
      </c>
      <c r="C12" s="32" t="s">
        <v>183</v>
      </c>
      <c r="D12" s="32" t="s">
        <v>538</v>
      </c>
      <c r="E12" s="32" t="s">
        <v>539</v>
      </c>
      <c r="F12" s="32" t="s">
        <v>540</v>
      </c>
      <c r="G12" s="23" t="s">
        <v>895</v>
      </c>
      <c r="H12" s="23" t="s">
        <v>896</v>
      </c>
    </row>
    <row r="13" spans="1:8" ht="51">
      <c r="A13" s="32" t="s">
        <v>189</v>
      </c>
      <c r="B13" s="32" t="s">
        <v>541</v>
      </c>
      <c r="C13" s="32" t="s">
        <v>183</v>
      </c>
      <c r="D13" s="32" t="s">
        <v>542</v>
      </c>
      <c r="E13" s="32" t="s">
        <v>543</v>
      </c>
      <c r="F13" s="32" t="s">
        <v>544</v>
      </c>
      <c r="G13" s="23" t="s">
        <v>895</v>
      </c>
      <c r="H13" s="23" t="s">
        <v>896</v>
      </c>
    </row>
    <row r="14" spans="1:8" ht="63.75">
      <c r="A14" s="32" t="s">
        <v>190</v>
      </c>
      <c r="B14" s="32" t="s">
        <v>545</v>
      </c>
      <c r="C14" s="32" t="s">
        <v>183</v>
      </c>
      <c r="D14" s="32" t="s">
        <v>542</v>
      </c>
      <c r="E14" s="32" t="s">
        <v>546</v>
      </c>
      <c r="F14" s="32" t="s">
        <v>547</v>
      </c>
      <c r="G14" s="23" t="s">
        <v>895</v>
      </c>
      <c r="H14" s="23" t="s">
        <v>896</v>
      </c>
    </row>
    <row r="15" spans="1:8" ht="63.75">
      <c r="A15" s="32" t="s">
        <v>191</v>
      </c>
      <c r="B15" s="32" t="s">
        <v>548</v>
      </c>
      <c r="C15" s="32" t="s">
        <v>549</v>
      </c>
      <c r="D15" s="32" t="s">
        <v>550</v>
      </c>
      <c r="E15" s="32" t="s">
        <v>551</v>
      </c>
      <c r="F15" s="32" t="s">
        <v>552</v>
      </c>
      <c r="G15" s="23" t="s">
        <v>895</v>
      </c>
      <c r="H15" s="23" t="s">
        <v>896</v>
      </c>
    </row>
    <row r="16" spans="1:8" ht="63.75">
      <c r="A16" s="32" t="s">
        <v>192</v>
      </c>
      <c r="B16" s="32" t="s">
        <v>553</v>
      </c>
      <c r="C16" s="32" t="s">
        <v>554</v>
      </c>
      <c r="D16" s="32" t="s">
        <v>542</v>
      </c>
      <c r="E16" s="32" t="s">
        <v>555</v>
      </c>
      <c r="F16" s="32" t="s">
        <v>556</v>
      </c>
      <c r="G16" s="23" t="s">
        <v>895</v>
      </c>
      <c r="H16" s="23" t="s">
        <v>896</v>
      </c>
    </row>
    <row r="17" spans="1:8" ht="63.75">
      <c r="A17" s="32" t="s">
        <v>193</v>
      </c>
      <c r="B17" s="32" t="s">
        <v>557</v>
      </c>
      <c r="C17" s="32" t="s">
        <v>558</v>
      </c>
      <c r="D17" s="32" t="s">
        <v>559</v>
      </c>
      <c r="E17" s="32" t="s">
        <v>560</v>
      </c>
      <c r="F17" s="32" t="s">
        <v>561</v>
      </c>
      <c r="G17" s="23" t="s">
        <v>895</v>
      </c>
      <c r="H17" s="23" t="s">
        <v>896</v>
      </c>
    </row>
    <row r="18" spans="1:8" ht="38.25">
      <c r="A18" s="32" t="s">
        <v>194</v>
      </c>
      <c r="B18" s="32" t="s">
        <v>562</v>
      </c>
      <c r="C18" s="32" t="s">
        <v>183</v>
      </c>
      <c r="D18" s="32" t="s">
        <v>563</v>
      </c>
      <c r="E18" s="32" t="s">
        <v>564</v>
      </c>
      <c r="F18" s="32" t="s">
        <v>565</v>
      </c>
      <c r="G18" s="23" t="s">
        <v>895</v>
      </c>
      <c r="H18" s="23" t="s">
        <v>896</v>
      </c>
    </row>
    <row r="19" spans="1:8" ht="51">
      <c r="A19" s="32" t="s">
        <v>196</v>
      </c>
      <c r="B19" s="32" t="s">
        <v>566</v>
      </c>
      <c r="C19" s="32" t="s">
        <v>183</v>
      </c>
      <c r="D19" s="32" t="s">
        <v>567</v>
      </c>
      <c r="E19" s="32" t="s">
        <v>568</v>
      </c>
      <c r="F19" s="32" t="s">
        <v>569</v>
      </c>
      <c r="G19" s="23" t="s">
        <v>895</v>
      </c>
      <c r="H19" s="23" t="s">
        <v>896</v>
      </c>
    </row>
    <row r="20" spans="1:8" ht="38.25">
      <c r="A20" s="32" t="s">
        <v>197</v>
      </c>
      <c r="B20" s="32" t="s">
        <v>570</v>
      </c>
      <c r="C20" s="32" t="s">
        <v>183</v>
      </c>
      <c r="D20" s="32" t="s">
        <v>571</v>
      </c>
      <c r="E20" s="32" t="s">
        <v>572</v>
      </c>
      <c r="F20" s="32" t="s">
        <v>573</v>
      </c>
      <c r="G20" s="23" t="s">
        <v>895</v>
      </c>
      <c r="H20" s="23" t="s">
        <v>896</v>
      </c>
    </row>
    <row r="21" spans="1:8" ht="51">
      <c r="A21" s="32" t="s">
        <v>198</v>
      </c>
      <c r="B21" s="32" t="s">
        <v>574</v>
      </c>
      <c r="C21" s="32" t="s">
        <v>183</v>
      </c>
      <c r="D21" s="32" t="s">
        <v>575</v>
      </c>
      <c r="E21" s="32" t="s">
        <v>576</v>
      </c>
      <c r="F21" s="32" t="s">
        <v>577</v>
      </c>
      <c r="G21" s="23" t="s">
        <v>895</v>
      </c>
      <c r="H21" s="23" t="s">
        <v>896</v>
      </c>
    </row>
    <row r="22" spans="1:8" ht="76.5">
      <c r="A22" s="32" t="s">
        <v>199</v>
      </c>
      <c r="B22" s="32" t="s">
        <v>578</v>
      </c>
      <c r="C22" s="32" t="s">
        <v>183</v>
      </c>
      <c r="D22" s="32" t="s">
        <v>579</v>
      </c>
      <c r="E22" s="32" t="s">
        <v>580</v>
      </c>
      <c r="F22" s="32" t="s">
        <v>581</v>
      </c>
      <c r="G22" s="23" t="s">
        <v>895</v>
      </c>
      <c r="H22" s="23" t="s">
        <v>896</v>
      </c>
    </row>
    <row r="23" spans="1:8" ht="76.5">
      <c r="A23" s="32" t="s">
        <v>200</v>
      </c>
      <c r="B23" s="32" t="s">
        <v>582</v>
      </c>
      <c r="C23" s="32" t="s">
        <v>583</v>
      </c>
      <c r="D23" s="32" t="s">
        <v>584</v>
      </c>
      <c r="E23" s="32" t="s">
        <v>585</v>
      </c>
      <c r="F23" s="32" t="s">
        <v>586</v>
      </c>
      <c r="G23" s="23" t="s">
        <v>895</v>
      </c>
      <c r="H23" s="23" t="s">
        <v>896</v>
      </c>
    </row>
    <row r="24" spans="1:8" ht="38.25">
      <c r="A24" s="32" t="s">
        <v>201</v>
      </c>
      <c r="B24" s="32" t="s">
        <v>587</v>
      </c>
      <c r="C24" s="32" t="s">
        <v>588</v>
      </c>
      <c r="D24" s="32" t="s">
        <v>589</v>
      </c>
      <c r="E24" s="32" t="s">
        <v>590</v>
      </c>
      <c r="F24" s="32" t="s">
        <v>591</v>
      </c>
      <c r="G24" s="23" t="s">
        <v>895</v>
      </c>
      <c r="H24" s="23" t="s">
        <v>896</v>
      </c>
    </row>
    <row r="25" spans="1:8" ht="38.25">
      <c r="A25" s="32" t="s">
        <v>202</v>
      </c>
      <c r="B25" s="32" t="s">
        <v>592</v>
      </c>
      <c r="C25" s="32" t="s">
        <v>593</v>
      </c>
      <c r="D25" s="32" t="s">
        <v>594</v>
      </c>
      <c r="E25" s="32" t="s">
        <v>595</v>
      </c>
      <c r="F25" s="32" t="s">
        <v>596</v>
      </c>
      <c r="G25" s="23" t="s">
        <v>895</v>
      </c>
      <c r="H25" s="23" t="s">
        <v>896</v>
      </c>
    </row>
    <row r="26" spans="1:8" ht="114.75">
      <c r="A26" s="32" t="s">
        <v>203</v>
      </c>
      <c r="B26" s="32" t="s">
        <v>597</v>
      </c>
      <c r="C26" s="32" t="s">
        <v>195</v>
      </c>
      <c r="D26" s="32" t="s">
        <v>542</v>
      </c>
      <c r="E26" s="32" t="s">
        <v>598</v>
      </c>
      <c r="F26" s="32" t="s">
        <v>599</v>
      </c>
      <c r="G26" s="23" t="s">
        <v>895</v>
      </c>
      <c r="H26" s="23" t="s">
        <v>896</v>
      </c>
    </row>
    <row r="27" spans="1:8" ht="76.5">
      <c r="A27" s="32" t="s">
        <v>600</v>
      </c>
      <c r="B27" s="32" t="s">
        <v>601</v>
      </c>
      <c r="C27" s="32" t="s">
        <v>588</v>
      </c>
      <c r="D27" s="32" t="s">
        <v>542</v>
      </c>
      <c r="E27" s="32" t="s">
        <v>602</v>
      </c>
      <c r="F27" s="32" t="s">
        <v>603</v>
      </c>
      <c r="G27" s="23" t="s">
        <v>895</v>
      </c>
      <c r="H27" s="23" t="s">
        <v>896</v>
      </c>
    </row>
    <row r="28" spans="1:8" ht="38.25">
      <c r="A28" s="32" t="s">
        <v>604</v>
      </c>
      <c r="B28" s="32" t="s">
        <v>605</v>
      </c>
      <c r="C28" s="32" t="s">
        <v>195</v>
      </c>
      <c r="D28" s="32" t="s">
        <v>589</v>
      </c>
      <c r="E28" s="32" t="s">
        <v>606</v>
      </c>
      <c r="F28" s="32" t="s">
        <v>607</v>
      </c>
      <c r="G28" s="23" t="s">
        <v>895</v>
      </c>
      <c r="H28" s="23" t="s">
        <v>896</v>
      </c>
    </row>
    <row r="29" spans="1:8" ht="38.25">
      <c r="A29" s="32" t="s">
        <v>608</v>
      </c>
      <c r="B29" s="32" t="s">
        <v>609</v>
      </c>
      <c r="C29" s="32" t="s">
        <v>610</v>
      </c>
      <c r="D29" s="32" t="s">
        <v>542</v>
      </c>
      <c r="E29" s="32" t="s">
        <v>611</v>
      </c>
      <c r="F29" s="32" t="s">
        <v>612</v>
      </c>
      <c r="G29" s="23" t="s">
        <v>895</v>
      </c>
      <c r="H29" s="23" t="s">
        <v>896</v>
      </c>
    </row>
    <row r="30" spans="1:8" ht="51">
      <c r="A30" s="32" t="s">
        <v>613</v>
      </c>
      <c r="B30" s="32" t="s">
        <v>614</v>
      </c>
      <c r="C30" s="32" t="s">
        <v>183</v>
      </c>
      <c r="D30" s="32" t="s">
        <v>615</v>
      </c>
      <c r="E30" s="32" t="s">
        <v>616</v>
      </c>
      <c r="F30" s="32" t="s">
        <v>617</v>
      </c>
      <c r="G30" s="23" t="s">
        <v>895</v>
      </c>
      <c r="H30" s="23" t="s">
        <v>896</v>
      </c>
    </row>
    <row r="31" spans="1:8" ht="63.75">
      <c r="A31" s="32" t="s">
        <v>618</v>
      </c>
      <c r="B31" s="32" t="s">
        <v>619</v>
      </c>
      <c r="C31" s="32" t="s">
        <v>620</v>
      </c>
      <c r="D31" s="32" t="s">
        <v>621</v>
      </c>
      <c r="E31" s="32" t="s">
        <v>622</v>
      </c>
      <c r="F31" s="32" t="s">
        <v>623</v>
      </c>
      <c r="G31" s="23" t="s">
        <v>895</v>
      </c>
      <c r="H31" s="23" t="s">
        <v>896</v>
      </c>
    </row>
    <row r="32" spans="1:8" ht="63.75">
      <c r="A32" s="32" t="s">
        <v>624</v>
      </c>
      <c r="B32" s="32" t="s">
        <v>625</v>
      </c>
      <c r="C32" s="32" t="s">
        <v>620</v>
      </c>
      <c r="D32" s="32" t="s">
        <v>626</v>
      </c>
      <c r="E32" s="32" t="s">
        <v>627</v>
      </c>
      <c r="F32" s="32" t="s">
        <v>628</v>
      </c>
      <c r="G32" s="23" t="s">
        <v>895</v>
      </c>
      <c r="H32" s="23" t="s">
        <v>896</v>
      </c>
    </row>
    <row r="33" spans="1:8" ht="51">
      <c r="A33" s="32" t="s">
        <v>629</v>
      </c>
      <c r="B33" s="32" t="s">
        <v>630</v>
      </c>
      <c r="C33" s="32" t="s">
        <v>631</v>
      </c>
      <c r="D33" s="32" t="s">
        <v>542</v>
      </c>
      <c r="E33" s="32" t="s">
        <v>632</v>
      </c>
      <c r="F33" s="32" t="s">
        <v>633</v>
      </c>
      <c r="G33" s="23" t="s">
        <v>895</v>
      </c>
      <c r="H33" s="23" t="s">
        <v>896</v>
      </c>
    </row>
    <row r="34" spans="1:8" ht="51">
      <c r="A34" s="32" t="s">
        <v>634</v>
      </c>
      <c r="B34" s="32" t="s">
        <v>635</v>
      </c>
      <c r="C34" s="32" t="s">
        <v>620</v>
      </c>
      <c r="D34" s="32" t="s">
        <v>636</v>
      </c>
      <c r="E34" s="32" t="s">
        <v>632</v>
      </c>
      <c r="F34" s="32" t="s">
        <v>637</v>
      </c>
      <c r="G34" s="23" t="s">
        <v>895</v>
      </c>
      <c r="H34" s="23" t="s">
        <v>896</v>
      </c>
    </row>
    <row r="35" spans="1:8" ht="38.25">
      <c r="A35" s="32" t="s">
        <v>638</v>
      </c>
      <c r="B35" s="32" t="s">
        <v>639</v>
      </c>
      <c r="C35" s="32" t="s">
        <v>183</v>
      </c>
      <c r="D35" s="32" t="s">
        <v>542</v>
      </c>
      <c r="E35" s="32" t="s">
        <v>640</v>
      </c>
      <c r="F35" s="32" t="s">
        <v>641</v>
      </c>
      <c r="G35" s="23" t="s">
        <v>895</v>
      </c>
      <c r="H35" s="23" t="s">
        <v>896</v>
      </c>
    </row>
    <row r="36" spans="1:8">
      <c r="A36" s="20"/>
      <c r="B36" s="20"/>
      <c r="C36" s="20"/>
      <c r="D36" s="20"/>
      <c r="E36" s="20"/>
      <c r="F36" s="20"/>
    </row>
    <row r="37" spans="1:8">
      <c r="A37" s="279" t="s">
        <v>368</v>
      </c>
      <c r="B37" s="279"/>
      <c r="C37" s="279"/>
      <c r="D37" s="279"/>
      <c r="E37" s="279"/>
      <c r="F37" s="279"/>
      <c r="G37" s="279"/>
      <c r="H37" s="279"/>
    </row>
    <row r="38" spans="1:8" ht="25.5">
      <c r="A38" s="31" t="s">
        <v>159</v>
      </c>
      <c r="B38" s="31" t="s">
        <v>2</v>
      </c>
      <c r="C38" s="31" t="s">
        <v>160</v>
      </c>
      <c r="D38" s="31" t="s">
        <v>161</v>
      </c>
      <c r="E38" s="31" t="s">
        <v>162</v>
      </c>
      <c r="F38" s="31" t="s">
        <v>163</v>
      </c>
      <c r="G38" s="31" t="s">
        <v>925</v>
      </c>
      <c r="H38" s="31" t="s">
        <v>902</v>
      </c>
    </row>
    <row r="39" spans="1:8" ht="63.75">
      <c r="A39" s="32" t="s">
        <v>204</v>
      </c>
      <c r="B39" s="32" t="s">
        <v>642</v>
      </c>
      <c r="C39" s="32" t="s">
        <v>620</v>
      </c>
      <c r="D39" s="32" t="s">
        <v>643</v>
      </c>
      <c r="E39" s="32" t="s">
        <v>644</v>
      </c>
      <c r="F39" s="32" t="s">
        <v>645</v>
      </c>
      <c r="G39" s="23" t="s">
        <v>907</v>
      </c>
      <c r="H39" s="23" t="s">
        <v>896</v>
      </c>
    </row>
    <row r="40" spans="1:8" ht="38.25">
      <c r="A40" s="32" t="s">
        <v>205</v>
      </c>
      <c r="B40" s="32" t="s">
        <v>646</v>
      </c>
      <c r="C40" s="32" t="s">
        <v>620</v>
      </c>
      <c r="D40" s="32" t="s">
        <v>647</v>
      </c>
      <c r="E40" s="32" t="s">
        <v>648</v>
      </c>
      <c r="F40" s="32" t="s">
        <v>649</v>
      </c>
      <c r="G40" s="26" t="s">
        <v>926</v>
      </c>
      <c r="H40" s="26" t="s">
        <v>897</v>
      </c>
    </row>
    <row r="41" spans="1:8" ht="57">
      <c r="A41" s="32" t="s">
        <v>206</v>
      </c>
      <c r="B41" s="32" t="s">
        <v>650</v>
      </c>
      <c r="C41" s="32" t="s">
        <v>620</v>
      </c>
      <c r="D41" s="32" t="s">
        <v>651</v>
      </c>
      <c r="E41" s="32" t="s">
        <v>652</v>
      </c>
      <c r="F41" s="32" t="s">
        <v>649</v>
      </c>
      <c r="G41" s="23" t="s">
        <v>927</v>
      </c>
      <c r="H41" s="23" t="s">
        <v>896</v>
      </c>
    </row>
    <row r="42" spans="1:8" ht="42.75">
      <c r="A42" s="32" t="s">
        <v>207</v>
      </c>
      <c r="B42" s="32" t="s">
        <v>653</v>
      </c>
      <c r="C42" s="32" t="s">
        <v>620</v>
      </c>
      <c r="D42" s="32" t="s">
        <v>654</v>
      </c>
      <c r="E42" s="32" t="s">
        <v>655</v>
      </c>
      <c r="F42" s="32" t="s">
        <v>656</v>
      </c>
      <c r="G42" s="23" t="s">
        <v>913</v>
      </c>
      <c r="H42" s="23" t="s">
        <v>896</v>
      </c>
    </row>
    <row r="43" spans="1:8" ht="57">
      <c r="A43" s="32" t="s">
        <v>208</v>
      </c>
      <c r="B43" s="32" t="s">
        <v>657</v>
      </c>
      <c r="C43" s="32" t="s">
        <v>620</v>
      </c>
      <c r="D43" s="32" t="s">
        <v>658</v>
      </c>
      <c r="E43" s="32" t="s">
        <v>659</v>
      </c>
      <c r="F43" s="32" t="s">
        <v>660</v>
      </c>
      <c r="G43" s="23" t="s">
        <v>927</v>
      </c>
      <c r="H43" s="23" t="s">
        <v>896</v>
      </c>
    </row>
    <row r="44" spans="1:8" ht="57">
      <c r="A44" s="32" t="s">
        <v>209</v>
      </c>
      <c r="B44" s="32" t="s">
        <v>661</v>
      </c>
      <c r="C44" s="32" t="s">
        <v>620</v>
      </c>
      <c r="D44" s="32" t="s">
        <v>662</v>
      </c>
      <c r="E44" s="32" t="s">
        <v>663</v>
      </c>
      <c r="F44" s="32" t="s">
        <v>660</v>
      </c>
      <c r="G44" s="23" t="s">
        <v>927</v>
      </c>
      <c r="H44" s="23" t="s">
        <v>896</v>
      </c>
    </row>
    <row r="45" spans="1:8" ht="42.75">
      <c r="A45" s="32" t="s">
        <v>210</v>
      </c>
      <c r="B45" s="32" t="s">
        <v>664</v>
      </c>
      <c r="C45" s="32" t="s">
        <v>620</v>
      </c>
      <c r="D45" s="32" t="s">
        <v>665</v>
      </c>
      <c r="E45" s="32" t="s">
        <v>666</v>
      </c>
      <c r="F45" s="32" t="s">
        <v>667</v>
      </c>
      <c r="G45" s="23" t="s">
        <v>913</v>
      </c>
      <c r="H45" s="23" t="s">
        <v>896</v>
      </c>
    </row>
    <row r="46" spans="1:8" ht="57">
      <c r="A46" s="32" t="s">
        <v>211</v>
      </c>
      <c r="B46" s="32" t="s">
        <v>668</v>
      </c>
      <c r="C46" s="32" t="s">
        <v>620</v>
      </c>
      <c r="D46" s="32" t="s">
        <v>669</v>
      </c>
      <c r="E46" s="32" t="s">
        <v>670</v>
      </c>
      <c r="F46" s="32" t="s">
        <v>671</v>
      </c>
      <c r="G46" s="23" t="s">
        <v>927</v>
      </c>
      <c r="H46" s="23" t="s">
        <v>896</v>
      </c>
    </row>
    <row r="47" spans="1:8" ht="57">
      <c r="A47" s="32" t="s">
        <v>212</v>
      </c>
      <c r="B47" s="32" t="s">
        <v>672</v>
      </c>
      <c r="C47" s="32" t="s">
        <v>620</v>
      </c>
      <c r="D47" s="32" t="s">
        <v>673</v>
      </c>
      <c r="E47" s="32" t="s">
        <v>674</v>
      </c>
      <c r="F47" s="32" t="s">
        <v>671</v>
      </c>
      <c r="G47" s="23" t="s">
        <v>927</v>
      </c>
      <c r="H47" s="23" t="s">
        <v>896</v>
      </c>
    </row>
    <row r="48" spans="1:8" ht="42.75">
      <c r="A48" s="32" t="s">
        <v>213</v>
      </c>
      <c r="B48" s="32" t="s">
        <v>675</v>
      </c>
      <c r="C48" s="32" t="s">
        <v>620</v>
      </c>
      <c r="D48" s="32" t="s">
        <v>676</v>
      </c>
      <c r="E48" s="32" t="s">
        <v>677</v>
      </c>
      <c r="F48" s="32" t="s">
        <v>678</v>
      </c>
      <c r="G48" s="23" t="s">
        <v>913</v>
      </c>
      <c r="H48" s="23" t="s">
        <v>896</v>
      </c>
    </row>
    <row r="49" spans="1:8" ht="57">
      <c r="A49" s="32" t="s">
        <v>214</v>
      </c>
      <c r="B49" s="32" t="s">
        <v>679</v>
      </c>
      <c r="C49" s="32" t="s">
        <v>620</v>
      </c>
      <c r="D49" s="32" t="s">
        <v>680</v>
      </c>
      <c r="E49" s="32" t="s">
        <v>681</v>
      </c>
      <c r="F49" s="32" t="s">
        <v>682</v>
      </c>
      <c r="G49" s="23" t="s">
        <v>927</v>
      </c>
      <c r="H49" s="23" t="s">
        <v>896</v>
      </c>
    </row>
    <row r="50" spans="1:8" ht="42.75">
      <c r="A50" s="32" t="s">
        <v>215</v>
      </c>
      <c r="B50" s="32" t="s">
        <v>683</v>
      </c>
      <c r="C50" s="32" t="s">
        <v>620</v>
      </c>
      <c r="D50" s="32" t="s">
        <v>684</v>
      </c>
      <c r="E50" s="32" t="s">
        <v>685</v>
      </c>
      <c r="F50" s="32" t="s">
        <v>686</v>
      </c>
      <c r="G50" s="26" t="s">
        <v>928</v>
      </c>
      <c r="H50" s="26" t="s">
        <v>897</v>
      </c>
    </row>
    <row r="51" spans="1:8" ht="57">
      <c r="A51" s="32" t="s">
        <v>216</v>
      </c>
      <c r="B51" s="32" t="s">
        <v>687</v>
      </c>
      <c r="C51" s="32" t="s">
        <v>620</v>
      </c>
      <c r="D51" s="32" t="s">
        <v>688</v>
      </c>
      <c r="E51" s="32" t="s">
        <v>689</v>
      </c>
      <c r="F51" s="32" t="s">
        <v>686</v>
      </c>
      <c r="G51" s="23" t="s">
        <v>927</v>
      </c>
      <c r="H51" s="23" t="s">
        <v>896</v>
      </c>
    </row>
    <row r="52" spans="1:8" ht="57">
      <c r="A52" s="32" t="s">
        <v>217</v>
      </c>
      <c r="B52" s="32" t="s">
        <v>690</v>
      </c>
      <c r="C52" s="32" t="s">
        <v>620</v>
      </c>
      <c r="D52" s="32" t="s">
        <v>691</v>
      </c>
      <c r="E52" s="32" t="s">
        <v>692</v>
      </c>
      <c r="F52" s="32" t="s">
        <v>693</v>
      </c>
      <c r="G52" s="23" t="s">
        <v>927</v>
      </c>
      <c r="H52" s="23" t="s">
        <v>896</v>
      </c>
    </row>
    <row r="53" spans="1:8" ht="57">
      <c r="A53" s="32" t="s">
        <v>694</v>
      </c>
      <c r="B53" s="32" t="s">
        <v>695</v>
      </c>
      <c r="C53" s="32" t="s">
        <v>620</v>
      </c>
      <c r="D53" s="32" t="s">
        <v>696</v>
      </c>
      <c r="E53" s="32" t="s">
        <v>697</v>
      </c>
      <c r="F53" s="32" t="s">
        <v>693</v>
      </c>
      <c r="G53" s="23" t="s">
        <v>927</v>
      </c>
      <c r="H53" s="23" t="s">
        <v>896</v>
      </c>
    </row>
    <row r="54" spans="1:8" ht="142.5">
      <c r="A54" s="32" t="s">
        <v>698</v>
      </c>
      <c r="B54" s="32" t="s">
        <v>699</v>
      </c>
      <c r="C54" s="32" t="s">
        <v>700</v>
      </c>
      <c r="D54" s="32" t="s">
        <v>701</v>
      </c>
      <c r="E54" s="32" t="s">
        <v>702</v>
      </c>
      <c r="F54" s="32" t="s">
        <v>703</v>
      </c>
      <c r="G54" s="23" t="s">
        <v>929</v>
      </c>
      <c r="H54" s="23" t="s">
        <v>896</v>
      </c>
    </row>
    <row r="55" spans="1:8" ht="71.25">
      <c r="A55" s="32" t="s">
        <v>704</v>
      </c>
      <c r="B55" s="32" t="s">
        <v>705</v>
      </c>
      <c r="C55" s="32" t="s">
        <v>706</v>
      </c>
      <c r="D55" s="32" t="s">
        <v>589</v>
      </c>
      <c r="E55" s="32" t="s">
        <v>707</v>
      </c>
      <c r="F55" s="32" t="s">
        <v>708</v>
      </c>
      <c r="G55" s="23" t="s">
        <v>930</v>
      </c>
      <c r="H55" s="23" t="s">
        <v>896</v>
      </c>
    </row>
    <row r="56" spans="1:8" ht="38.25">
      <c r="A56" s="32" t="s">
        <v>709</v>
      </c>
      <c r="B56" s="32" t="s">
        <v>710</v>
      </c>
      <c r="C56" s="32" t="s">
        <v>620</v>
      </c>
      <c r="D56" s="32" t="s">
        <v>711</v>
      </c>
      <c r="E56" s="32" t="s">
        <v>712</v>
      </c>
      <c r="F56" s="32" t="s">
        <v>713</v>
      </c>
      <c r="G56" s="23" t="s">
        <v>932</v>
      </c>
      <c r="H56" s="23" t="s">
        <v>896</v>
      </c>
    </row>
    <row r="57" spans="1:8" ht="38.25">
      <c r="A57" s="32" t="s">
        <v>714</v>
      </c>
      <c r="B57" s="32" t="s">
        <v>715</v>
      </c>
      <c r="C57" s="32" t="s">
        <v>620</v>
      </c>
      <c r="D57" s="32" t="s">
        <v>716</v>
      </c>
      <c r="E57" s="32" t="s">
        <v>717</v>
      </c>
      <c r="F57" s="32" t="s">
        <v>718</v>
      </c>
      <c r="G57" s="23" t="s">
        <v>931</v>
      </c>
      <c r="H57" s="23" t="s">
        <v>896</v>
      </c>
    </row>
    <row r="58" spans="1:8" ht="51">
      <c r="A58" s="32" t="s">
        <v>719</v>
      </c>
      <c r="B58" s="32" t="s">
        <v>720</v>
      </c>
      <c r="C58" s="32" t="s">
        <v>620</v>
      </c>
      <c r="D58" s="32" t="s">
        <v>721</v>
      </c>
      <c r="E58" s="32" t="s">
        <v>722</v>
      </c>
      <c r="F58" s="32" t="s">
        <v>723</v>
      </c>
      <c r="G58" s="23" t="s">
        <v>931</v>
      </c>
      <c r="H58" s="23" t="s">
        <v>896</v>
      </c>
    </row>
    <row r="59" spans="1:8">
      <c r="A59" s="20"/>
      <c r="B59" s="20"/>
      <c r="C59" s="20"/>
      <c r="D59" s="20"/>
      <c r="E59" s="20"/>
      <c r="F59" s="20"/>
    </row>
    <row r="60" spans="1:8">
      <c r="A60" s="279" t="s">
        <v>724</v>
      </c>
      <c r="B60" s="279"/>
      <c r="C60" s="279"/>
      <c r="D60" s="279"/>
      <c r="E60" s="279"/>
      <c r="F60" s="279"/>
      <c r="G60" s="279"/>
      <c r="H60" s="279"/>
    </row>
    <row r="61" spans="1:8" ht="25.5">
      <c r="A61" s="31" t="s">
        <v>159</v>
      </c>
      <c r="B61" s="31" t="s">
        <v>2</v>
      </c>
      <c r="C61" s="31" t="s">
        <v>160</v>
      </c>
      <c r="D61" s="31" t="s">
        <v>161</v>
      </c>
      <c r="E61" s="31" t="s">
        <v>162</v>
      </c>
      <c r="F61" s="31" t="s">
        <v>163</v>
      </c>
      <c r="G61" s="31" t="s">
        <v>925</v>
      </c>
      <c r="H61" s="31" t="s">
        <v>902</v>
      </c>
    </row>
    <row r="62" spans="1:8" ht="63.75">
      <c r="A62" s="32" t="s">
        <v>218</v>
      </c>
      <c r="B62" s="32" t="s">
        <v>725</v>
      </c>
      <c r="C62" s="32" t="s">
        <v>620</v>
      </c>
      <c r="D62" s="32" t="s">
        <v>726</v>
      </c>
      <c r="E62" s="32" t="s">
        <v>727</v>
      </c>
      <c r="F62" s="32" t="s">
        <v>728</v>
      </c>
      <c r="G62" s="23" t="s">
        <v>895</v>
      </c>
      <c r="H62" s="23" t="s">
        <v>896</v>
      </c>
    </row>
    <row r="63" spans="1:8" ht="76.5">
      <c r="A63" s="32" t="s">
        <v>219</v>
      </c>
      <c r="B63" s="32" t="s">
        <v>729</v>
      </c>
      <c r="C63" s="32" t="s">
        <v>620</v>
      </c>
      <c r="D63" s="32" t="s">
        <v>730</v>
      </c>
      <c r="E63" s="32" t="s">
        <v>731</v>
      </c>
      <c r="F63" s="32" t="s">
        <v>732</v>
      </c>
      <c r="G63" s="26" t="s">
        <v>933</v>
      </c>
      <c r="H63" s="26" t="s">
        <v>897</v>
      </c>
    </row>
    <row r="64" spans="1:8" ht="63.75">
      <c r="A64" s="32" t="s">
        <v>220</v>
      </c>
      <c r="B64" s="32" t="s">
        <v>733</v>
      </c>
      <c r="C64" s="32" t="s">
        <v>620</v>
      </c>
      <c r="D64" s="32" t="s">
        <v>734</v>
      </c>
      <c r="E64" s="32" t="s">
        <v>735</v>
      </c>
      <c r="F64" s="32" t="s">
        <v>628</v>
      </c>
      <c r="G64" s="23" t="s">
        <v>895</v>
      </c>
      <c r="H64" s="23" t="s">
        <v>896</v>
      </c>
    </row>
    <row r="65" spans="1:8" ht="76.5">
      <c r="A65" s="32" t="s">
        <v>221</v>
      </c>
      <c r="B65" s="32" t="s">
        <v>736</v>
      </c>
      <c r="C65" s="32" t="s">
        <v>620</v>
      </c>
      <c r="D65" s="32" t="s">
        <v>737</v>
      </c>
      <c r="E65" s="32" t="s">
        <v>738</v>
      </c>
      <c r="F65" s="32" t="s">
        <v>739</v>
      </c>
      <c r="G65" s="23" t="s">
        <v>895</v>
      </c>
      <c r="H65" s="23" t="s">
        <v>896</v>
      </c>
    </row>
    <row r="66" spans="1:8" ht="63.75">
      <c r="A66" s="32" t="s">
        <v>222</v>
      </c>
      <c r="B66" s="32" t="s">
        <v>740</v>
      </c>
      <c r="C66" s="32" t="s">
        <v>620</v>
      </c>
      <c r="D66" s="32" t="s">
        <v>741</v>
      </c>
      <c r="E66" s="32" t="s">
        <v>742</v>
      </c>
      <c r="F66" s="32" t="s">
        <v>743</v>
      </c>
      <c r="G66" s="23" t="s">
        <v>895</v>
      </c>
      <c r="H66" s="23" t="s">
        <v>896</v>
      </c>
    </row>
    <row r="67" spans="1:8" ht="51">
      <c r="A67" s="32" t="s">
        <v>223</v>
      </c>
      <c r="B67" s="32" t="s">
        <v>744</v>
      </c>
      <c r="C67" s="32" t="s">
        <v>620</v>
      </c>
      <c r="D67" s="32" t="s">
        <v>745</v>
      </c>
      <c r="E67" s="32" t="s">
        <v>746</v>
      </c>
      <c r="F67" s="32" t="s">
        <v>747</v>
      </c>
      <c r="G67" s="23" t="s">
        <v>895</v>
      </c>
      <c r="H67" s="23" t="s">
        <v>896</v>
      </c>
    </row>
    <row r="68" spans="1:8" ht="63.75">
      <c r="A68" s="32" t="s">
        <v>224</v>
      </c>
      <c r="B68" s="32" t="s">
        <v>748</v>
      </c>
      <c r="C68" s="32" t="s">
        <v>620</v>
      </c>
      <c r="D68" s="32" t="s">
        <v>749</v>
      </c>
      <c r="E68" s="32" t="s">
        <v>750</v>
      </c>
      <c r="F68" s="32" t="s">
        <v>751</v>
      </c>
      <c r="G68" s="23" t="s">
        <v>895</v>
      </c>
      <c r="H68" s="23" t="s">
        <v>896</v>
      </c>
    </row>
    <row r="69" spans="1:8" ht="63.75">
      <c r="A69" s="32" t="s">
        <v>225</v>
      </c>
      <c r="B69" s="32" t="s">
        <v>752</v>
      </c>
      <c r="C69" s="32" t="s">
        <v>620</v>
      </c>
      <c r="D69" s="32" t="s">
        <v>753</v>
      </c>
      <c r="E69" s="32" t="s">
        <v>754</v>
      </c>
      <c r="F69" s="32" t="s">
        <v>755</v>
      </c>
      <c r="G69" s="23" t="s">
        <v>895</v>
      </c>
      <c r="H69" s="23" t="s">
        <v>896</v>
      </c>
    </row>
    <row r="70" spans="1:8" ht="63.75">
      <c r="A70" s="32" t="s">
        <v>226</v>
      </c>
      <c r="B70" s="32" t="s">
        <v>756</v>
      </c>
      <c r="C70" s="32" t="s">
        <v>620</v>
      </c>
      <c r="D70" s="32" t="s">
        <v>757</v>
      </c>
      <c r="E70" s="32" t="s">
        <v>758</v>
      </c>
      <c r="F70" s="32" t="s">
        <v>759</v>
      </c>
      <c r="G70" s="23" t="s">
        <v>895</v>
      </c>
      <c r="H70" s="23" t="s">
        <v>896</v>
      </c>
    </row>
    <row r="71" spans="1:8" ht="51">
      <c r="A71" s="32" t="s">
        <v>227</v>
      </c>
      <c r="B71" s="32" t="s">
        <v>760</v>
      </c>
      <c r="C71" s="32" t="s">
        <v>620</v>
      </c>
      <c r="D71" s="32" t="s">
        <v>761</v>
      </c>
      <c r="E71" s="32" t="s">
        <v>762</v>
      </c>
      <c r="F71" s="32" t="s">
        <v>763</v>
      </c>
      <c r="G71" s="23" t="s">
        <v>895</v>
      </c>
      <c r="H71" s="23" t="s">
        <v>896</v>
      </c>
    </row>
    <row r="72" spans="1:8" ht="63.75">
      <c r="A72" s="32" t="s">
        <v>228</v>
      </c>
      <c r="B72" s="32" t="s">
        <v>764</v>
      </c>
      <c r="C72" s="32" t="s">
        <v>620</v>
      </c>
      <c r="D72" s="32" t="s">
        <v>765</v>
      </c>
      <c r="E72" s="32" t="s">
        <v>766</v>
      </c>
      <c r="F72" s="32" t="s">
        <v>767</v>
      </c>
      <c r="G72" s="23" t="s">
        <v>895</v>
      </c>
      <c r="H72" s="23" t="s">
        <v>896</v>
      </c>
    </row>
    <row r="73" spans="1:8" ht="102">
      <c r="A73" s="32" t="s">
        <v>229</v>
      </c>
      <c r="B73" s="32" t="s">
        <v>768</v>
      </c>
      <c r="C73" s="32" t="s">
        <v>620</v>
      </c>
      <c r="D73" s="32" t="s">
        <v>769</v>
      </c>
      <c r="E73" s="32" t="s">
        <v>770</v>
      </c>
      <c r="F73" s="32" t="s">
        <v>771</v>
      </c>
      <c r="G73" s="23" t="s">
        <v>895</v>
      </c>
      <c r="H73" s="23" t="s">
        <v>896</v>
      </c>
    </row>
    <row r="74" spans="1:8" ht="76.5">
      <c r="A74" s="32" t="s">
        <v>230</v>
      </c>
      <c r="B74" s="32" t="s">
        <v>235</v>
      </c>
      <c r="C74" s="32" t="s">
        <v>620</v>
      </c>
      <c r="D74" s="32" t="s">
        <v>772</v>
      </c>
      <c r="E74" s="32" t="s">
        <v>773</v>
      </c>
      <c r="F74" s="32" t="s">
        <v>774</v>
      </c>
      <c r="G74" s="23" t="s">
        <v>895</v>
      </c>
      <c r="H74" s="23" t="s">
        <v>896</v>
      </c>
    </row>
    <row r="75" spans="1:8" ht="63.75">
      <c r="A75" s="32" t="s">
        <v>231</v>
      </c>
      <c r="B75" s="32" t="s">
        <v>775</v>
      </c>
      <c r="C75" s="32" t="s">
        <v>620</v>
      </c>
      <c r="D75" s="32" t="s">
        <v>776</v>
      </c>
      <c r="E75" s="32" t="s">
        <v>777</v>
      </c>
      <c r="F75" s="32" t="s">
        <v>778</v>
      </c>
      <c r="G75" s="23" t="s">
        <v>895</v>
      </c>
      <c r="H75" s="23" t="s">
        <v>896</v>
      </c>
    </row>
    <row r="76" spans="1:8" ht="51">
      <c r="A76" s="32" t="s">
        <v>232</v>
      </c>
      <c r="B76" s="32" t="s">
        <v>779</v>
      </c>
      <c r="C76" s="32" t="s">
        <v>620</v>
      </c>
      <c r="D76" s="32" t="s">
        <v>780</v>
      </c>
      <c r="E76" s="32" t="s">
        <v>781</v>
      </c>
      <c r="F76" s="32" t="s">
        <v>782</v>
      </c>
      <c r="G76" s="23" t="s">
        <v>895</v>
      </c>
      <c r="H76" s="23" t="s">
        <v>896</v>
      </c>
    </row>
    <row r="77" spans="1:8" ht="76.5">
      <c r="A77" s="32" t="s">
        <v>233</v>
      </c>
      <c r="B77" s="32" t="s">
        <v>783</v>
      </c>
      <c r="C77" s="32" t="s">
        <v>620</v>
      </c>
      <c r="D77" s="32" t="s">
        <v>784</v>
      </c>
      <c r="E77" s="32" t="s">
        <v>785</v>
      </c>
      <c r="F77" s="32" t="s">
        <v>786</v>
      </c>
      <c r="G77" s="23" t="s">
        <v>895</v>
      </c>
      <c r="H77" s="23" t="s">
        <v>896</v>
      </c>
    </row>
    <row r="78" spans="1:8" ht="63.75">
      <c r="A78" s="32" t="s">
        <v>234</v>
      </c>
      <c r="B78" s="32" t="s">
        <v>787</v>
      </c>
      <c r="C78" s="32" t="s">
        <v>620</v>
      </c>
      <c r="D78" s="32" t="s">
        <v>788</v>
      </c>
      <c r="E78" s="32" t="s">
        <v>789</v>
      </c>
      <c r="F78" s="32" t="s">
        <v>790</v>
      </c>
      <c r="G78" s="23" t="s">
        <v>895</v>
      </c>
      <c r="H78" s="23" t="s">
        <v>896</v>
      </c>
    </row>
    <row r="79" spans="1:8" ht="63.75">
      <c r="A79" s="32" t="s">
        <v>236</v>
      </c>
      <c r="B79" s="32" t="s">
        <v>791</v>
      </c>
      <c r="C79" s="32" t="s">
        <v>620</v>
      </c>
      <c r="D79" s="32" t="s">
        <v>792</v>
      </c>
      <c r="E79" s="32" t="s">
        <v>793</v>
      </c>
      <c r="F79" s="32" t="s">
        <v>794</v>
      </c>
      <c r="G79" s="23" t="s">
        <v>895</v>
      </c>
      <c r="H79" s="23" t="s">
        <v>896</v>
      </c>
    </row>
    <row r="80" spans="1:8" ht="63.75">
      <c r="A80" s="32" t="s">
        <v>237</v>
      </c>
      <c r="B80" s="32" t="s">
        <v>795</v>
      </c>
      <c r="C80" s="32" t="s">
        <v>796</v>
      </c>
      <c r="D80" s="32" t="s">
        <v>797</v>
      </c>
      <c r="E80" s="32" t="s">
        <v>798</v>
      </c>
      <c r="F80" s="32" t="s">
        <v>799</v>
      </c>
      <c r="G80" s="23" t="s">
        <v>895</v>
      </c>
      <c r="H80" s="23" t="s">
        <v>896</v>
      </c>
    </row>
    <row r="81" spans="1:8" ht="89.25">
      <c r="A81" s="32" t="s">
        <v>238</v>
      </c>
      <c r="B81" s="32" t="s">
        <v>800</v>
      </c>
      <c r="C81" s="32" t="s">
        <v>620</v>
      </c>
      <c r="D81" s="32" t="s">
        <v>801</v>
      </c>
      <c r="E81" s="32" t="s">
        <v>802</v>
      </c>
      <c r="F81" s="32" t="s">
        <v>803</v>
      </c>
      <c r="G81" s="23" t="s">
        <v>895</v>
      </c>
      <c r="H81" s="23" t="s">
        <v>896</v>
      </c>
    </row>
  </sheetData>
  <mergeCells count="3">
    <mergeCell ref="A37:H37"/>
    <mergeCell ref="A1:H1"/>
    <mergeCell ref="A60:H6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A1:A8"/>
  <sheetViews>
    <sheetView workbookViewId="0">
      <selection activeCell="D12" sqref="D12"/>
    </sheetView>
  </sheetViews>
  <sheetFormatPr defaultRowHeight="14.25"/>
  <sheetData>
    <row r="1" spans="1:1" ht="15.75">
      <c r="A1" s="126" t="s">
        <v>1109</v>
      </c>
    </row>
    <row r="2" spans="1:1" ht="15.75">
      <c r="A2" s="127" t="s">
        <v>1125</v>
      </c>
    </row>
    <row r="3" spans="1:1" ht="15.75">
      <c r="A3" s="127"/>
    </row>
    <row r="4" spans="1:1" ht="15.75">
      <c r="A4" s="126" t="s">
        <v>1110</v>
      </c>
    </row>
    <row r="5" spans="1:1" ht="15.75">
      <c r="A5" s="127" t="s">
        <v>1126</v>
      </c>
    </row>
    <row r="6" spans="1:1" ht="15.75">
      <c r="A6" s="127"/>
    </row>
    <row r="7" spans="1:1" ht="15.75">
      <c r="A7" s="126" t="s">
        <v>1123</v>
      </c>
    </row>
    <row r="8" spans="1:1" ht="15.75">
      <c r="A8" s="127" t="s">
        <v>1127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A1:AS80"/>
  <sheetViews>
    <sheetView topLeftCell="Z1" zoomScale="85" zoomScaleNormal="85" workbookViewId="0">
      <pane ySplit="1" topLeftCell="A2" activePane="bottomLeft" state="frozen"/>
      <selection pane="bottomLeft" activeCell="AS4" sqref="AS4"/>
    </sheetView>
  </sheetViews>
  <sheetFormatPr defaultRowHeight="14.25"/>
  <cols>
    <col min="2" max="2" width="7.625" style="56" customWidth="1"/>
    <col min="3" max="3" width="13.75" style="56" bestFit="1" customWidth="1"/>
    <col min="4" max="4" width="5.875" style="56" bestFit="1" customWidth="1"/>
    <col min="5" max="6" width="9.125" style="56" bestFit="1" customWidth="1"/>
    <col min="7" max="7" width="12.875" style="56" bestFit="1" customWidth="1"/>
    <col min="8" max="8" width="6.875" style="56" bestFit="1" customWidth="1"/>
    <col min="9" max="9" width="6.875" style="56" customWidth="1"/>
    <col min="10" max="10" width="11.25" style="56" bestFit="1" customWidth="1"/>
    <col min="11" max="12" width="9.125" style="56" bestFit="1" customWidth="1"/>
    <col min="13" max="13" width="10.125" style="56" bestFit="1" customWidth="1"/>
    <col min="14" max="14" width="9.125" style="56" bestFit="1" customWidth="1"/>
    <col min="15" max="15" width="6.875" style="56" customWidth="1"/>
    <col min="16" max="16" width="7.625" customWidth="1"/>
    <col min="17" max="17" width="13.75" customWidth="1"/>
    <col min="18" max="18" width="5.875" customWidth="1"/>
    <col min="19" max="20" width="9.125" customWidth="1"/>
    <col min="21" max="21" width="12.875" customWidth="1"/>
    <col min="22" max="22" width="12.75" customWidth="1"/>
    <col min="23" max="23" width="6.625" customWidth="1"/>
    <col min="24" max="24" width="11.125" bestFit="1" customWidth="1"/>
    <col min="25" max="25" width="13.5" bestFit="1" customWidth="1"/>
    <col min="26" max="26" width="7.625" bestFit="1" customWidth="1"/>
    <col min="27" max="28" width="9" bestFit="1" customWidth="1"/>
    <col min="29" max="29" width="8.5" bestFit="1" customWidth="1"/>
    <col min="30" max="30" width="8" bestFit="1" customWidth="1"/>
    <col min="31" max="31" width="6.625" bestFit="1" customWidth="1"/>
    <col min="32" max="32" width="7.5" bestFit="1" customWidth="1"/>
    <col min="33" max="33" width="13.5" bestFit="1" customWidth="1"/>
    <col min="34" max="34" width="5.75" bestFit="1" customWidth="1"/>
    <col min="35" max="35" width="8.125" bestFit="1" customWidth="1"/>
    <col min="36" max="36" width="9" bestFit="1" customWidth="1"/>
    <col min="37" max="37" width="8.5" bestFit="1" customWidth="1"/>
    <col min="38" max="38" width="8" bestFit="1" customWidth="1"/>
    <col min="39" max="39" width="7.125" bestFit="1" customWidth="1"/>
    <col min="40" max="42" width="13.25" customWidth="1"/>
    <col min="43" max="44" width="12.5" customWidth="1"/>
    <col min="45" max="45" width="23.375" customWidth="1"/>
  </cols>
  <sheetData>
    <row r="1" spans="1:45" ht="28.5" customHeight="1" thickBot="1">
      <c r="A1" s="45"/>
      <c r="B1" s="290" t="s">
        <v>989</v>
      </c>
      <c r="C1" s="291"/>
      <c r="D1" s="291"/>
      <c r="E1" s="291"/>
      <c r="F1" s="291"/>
      <c r="G1" s="291"/>
      <c r="H1" s="291"/>
      <c r="I1" s="290" t="s">
        <v>1128</v>
      </c>
      <c r="J1" s="291"/>
      <c r="K1" s="291"/>
      <c r="L1" s="291"/>
      <c r="M1" s="291"/>
      <c r="N1" s="291"/>
      <c r="O1" s="292"/>
      <c r="P1" s="291" t="s">
        <v>1143</v>
      </c>
      <c r="Q1" s="291"/>
      <c r="R1" s="291"/>
      <c r="S1" s="291"/>
      <c r="T1" s="291"/>
      <c r="U1" s="291"/>
      <c r="V1" s="291"/>
      <c r="W1" s="292"/>
      <c r="X1" s="290" t="s">
        <v>1144</v>
      </c>
      <c r="Y1" s="291"/>
      <c r="Z1" s="291"/>
      <c r="AA1" s="291"/>
      <c r="AB1" s="291"/>
      <c r="AC1" s="291"/>
      <c r="AD1" s="291"/>
      <c r="AE1" s="292"/>
      <c r="AF1" s="290" t="s">
        <v>1145</v>
      </c>
      <c r="AG1" s="291"/>
      <c r="AH1" s="291"/>
      <c r="AI1" s="291"/>
      <c r="AJ1" s="291"/>
      <c r="AK1" s="291"/>
      <c r="AL1" s="291"/>
      <c r="AM1" s="292"/>
      <c r="AN1" s="231"/>
      <c r="AO1" s="95"/>
      <c r="AP1" s="101" t="s">
        <v>1106</v>
      </c>
      <c r="AQ1" s="101" t="s">
        <v>1107</v>
      </c>
      <c r="AR1" s="101" t="s">
        <v>1108</v>
      </c>
      <c r="AS1" s="102" t="s">
        <v>1124</v>
      </c>
    </row>
    <row r="2" spans="1:45" ht="120.75" thickBot="1">
      <c r="A2" s="45"/>
      <c r="B2" s="47" t="s">
        <v>1075</v>
      </c>
      <c r="C2" s="48" t="s">
        <v>1072</v>
      </c>
      <c r="D2" s="49" t="s">
        <v>1073</v>
      </c>
      <c r="E2" s="49" t="s">
        <v>40</v>
      </c>
      <c r="F2" s="49" t="s">
        <v>43</v>
      </c>
      <c r="G2" s="49" t="s">
        <v>1074</v>
      </c>
      <c r="H2" s="139" t="s">
        <v>42</v>
      </c>
      <c r="I2" s="52" t="s">
        <v>1075</v>
      </c>
      <c r="J2" s="53" t="s">
        <v>1072</v>
      </c>
      <c r="K2" s="54" t="s">
        <v>1073</v>
      </c>
      <c r="L2" s="54" t="s">
        <v>40</v>
      </c>
      <c r="M2" s="54" t="s">
        <v>43</v>
      </c>
      <c r="N2" s="54" t="s">
        <v>1074</v>
      </c>
      <c r="O2" s="55" t="s">
        <v>42</v>
      </c>
      <c r="P2" s="140" t="s">
        <v>1101</v>
      </c>
      <c r="Q2" s="53" t="s">
        <v>1072</v>
      </c>
      <c r="R2" s="53" t="s">
        <v>1073</v>
      </c>
      <c r="S2" s="54" t="s">
        <v>40</v>
      </c>
      <c r="T2" s="54" t="s">
        <v>43</v>
      </c>
      <c r="U2" s="54" t="s">
        <v>1074</v>
      </c>
      <c r="V2" s="54" t="s">
        <v>42</v>
      </c>
      <c r="W2" s="55" t="s">
        <v>1102</v>
      </c>
      <c r="X2" s="52" t="s">
        <v>1101</v>
      </c>
      <c r="Y2" s="53" t="s">
        <v>1072</v>
      </c>
      <c r="Z2" s="53" t="s">
        <v>1073</v>
      </c>
      <c r="AA2" s="54" t="s">
        <v>40</v>
      </c>
      <c r="AB2" s="54" t="s">
        <v>43</v>
      </c>
      <c r="AC2" s="54" t="s">
        <v>1074</v>
      </c>
      <c r="AD2" s="54" t="s">
        <v>42</v>
      </c>
      <c r="AE2" s="55" t="s">
        <v>1102</v>
      </c>
      <c r="AF2" s="52" t="s">
        <v>1101</v>
      </c>
      <c r="AG2" s="53" t="s">
        <v>1072</v>
      </c>
      <c r="AH2" s="53" t="s">
        <v>1073</v>
      </c>
      <c r="AI2" s="54" t="s">
        <v>40</v>
      </c>
      <c r="AJ2" s="54" t="s">
        <v>43</v>
      </c>
      <c r="AK2" s="54" t="s">
        <v>1074</v>
      </c>
      <c r="AL2" s="54" t="s">
        <v>42</v>
      </c>
      <c r="AM2" s="55" t="s">
        <v>1102</v>
      </c>
      <c r="AN2" s="50"/>
      <c r="AO2" s="99" t="s">
        <v>1109</v>
      </c>
      <c r="AP2" s="96" t="s">
        <v>896</v>
      </c>
      <c r="AQ2" s="97" t="s">
        <v>896</v>
      </c>
      <c r="AR2" s="97" t="s">
        <v>896</v>
      </c>
      <c r="AS2" s="98" t="s">
        <v>1140</v>
      </c>
    </row>
    <row r="3" spans="1:45" ht="120">
      <c r="A3" s="293" t="s">
        <v>1109</v>
      </c>
      <c r="B3" s="184" t="s">
        <v>990</v>
      </c>
      <c r="C3" s="185">
        <v>46127</v>
      </c>
      <c r="D3" s="186">
        <v>2026</v>
      </c>
      <c r="E3" s="187">
        <v>1000</v>
      </c>
      <c r="F3" s="187">
        <v>1000</v>
      </c>
      <c r="G3" s="187"/>
      <c r="H3" s="188">
        <v>0</v>
      </c>
      <c r="I3" s="151" t="s">
        <v>990</v>
      </c>
      <c r="J3" s="166">
        <f ca="1">$M$4</f>
        <v>46127</v>
      </c>
      <c r="K3" s="167">
        <f t="shared" ref="K3:K28" ca="1" si="0">YEAR(J3)</f>
        <v>2026</v>
      </c>
      <c r="L3" s="168">
        <f ca="1">ROUND($M$5*$M$6,2)</f>
        <v>1000</v>
      </c>
      <c r="M3" s="168">
        <v>1000</v>
      </c>
      <c r="N3" s="168">
        <v>0</v>
      </c>
      <c r="O3" s="169">
        <v>0</v>
      </c>
      <c r="P3" s="141" t="s">
        <v>990</v>
      </c>
      <c r="Q3" s="58">
        <v>46127</v>
      </c>
      <c r="R3" s="59">
        <v>2026</v>
      </c>
      <c r="S3" s="59">
        <v>1000</v>
      </c>
      <c r="T3" s="59">
        <v>1000</v>
      </c>
      <c r="U3" s="59"/>
      <c r="V3" s="59">
        <v>0</v>
      </c>
      <c r="W3" s="60" t="s">
        <v>1103</v>
      </c>
      <c r="X3" s="85" t="s">
        <v>990</v>
      </c>
      <c r="Y3" s="86">
        <v>46127</v>
      </c>
      <c r="Z3" s="87">
        <v>2026</v>
      </c>
      <c r="AA3" s="87">
        <v>1000</v>
      </c>
      <c r="AB3" s="87">
        <v>1000</v>
      </c>
      <c r="AC3" s="87"/>
      <c r="AD3" s="87">
        <v>0</v>
      </c>
      <c r="AE3" s="88" t="s">
        <v>1103</v>
      </c>
      <c r="AF3" s="57" t="s">
        <v>990</v>
      </c>
      <c r="AG3" s="58">
        <v>46127</v>
      </c>
      <c r="AH3" s="59">
        <v>2026</v>
      </c>
      <c r="AI3" s="59">
        <v>1000</v>
      </c>
      <c r="AJ3" s="59">
        <v>1000</v>
      </c>
      <c r="AK3" s="59"/>
      <c r="AL3" s="59">
        <v>0</v>
      </c>
      <c r="AM3" s="89" t="s">
        <v>1103</v>
      </c>
      <c r="AN3" s="44"/>
      <c r="AO3" s="100" t="s">
        <v>1110</v>
      </c>
      <c r="AP3" s="97" t="s">
        <v>896</v>
      </c>
      <c r="AQ3" s="97" t="s">
        <v>896</v>
      </c>
      <c r="AR3" s="97" t="s">
        <v>896</v>
      </c>
      <c r="AS3" s="98" t="s">
        <v>1141</v>
      </c>
    </row>
    <row r="4" spans="1:45" ht="210">
      <c r="A4" s="294"/>
      <c r="B4" s="189" t="s">
        <v>1076</v>
      </c>
      <c r="C4" s="190">
        <v>46173</v>
      </c>
      <c r="D4" s="191">
        <v>2026</v>
      </c>
      <c r="E4" s="192">
        <v>355.14</v>
      </c>
      <c r="F4" s="192">
        <v>317.64</v>
      </c>
      <c r="G4" s="192"/>
      <c r="H4" s="193">
        <v>37.5</v>
      </c>
      <c r="I4" s="170">
        <v>1</v>
      </c>
      <c r="J4" s="160">
        <f t="shared" ref="J4:J27" ca="1" si="1">EOMONTH($M$4,I4)</f>
        <v>46173</v>
      </c>
      <c r="K4" s="164">
        <f t="shared" ca="1" si="0"/>
        <v>2026</v>
      </c>
      <c r="L4" s="165">
        <f t="shared" ref="L4:L26" ca="1" si="2">ROUND(IF($M$8=0,(($M$5-ROUND($M$5*$M$6,2))-ROUND($M$5*$M$7,2))/($M$9*$M$10),(($M$8/$M$10)*(($M$5-ROUND($M$5*$M$6,2))-ROUND($M$5*$M$7,2)/(1+$M$8/$M$10)^($M$9*$M$10)))/(1-(1+$M$8/$M$10)^(-$M$9*$M$10))),2)</f>
        <v>355.14</v>
      </c>
      <c r="M4" s="165">
        <f t="shared" ref="M4:M26" ca="1" si="3">ROUND(L4-O4,2)</f>
        <v>317.64</v>
      </c>
      <c r="N4" s="165">
        <f>0</f>
        <v>0</v>
      </c>
      <c r="O4" s="171">
        <f t="shared" ref="O4:O27" ca="1" si="4">ROUND(P3*($M$8/$M$10),2)</f>
        <v>37.5</v>
      </c>
      <c r="P4" s="142">
        <v>1</v>
      </c>
      <c r="Q4" s="62">
        <v>46173</v>
      </c>
      <c r="R4" s="63">
        <v>2026</v>
      </c>
      <c r="S4" s="63">
        <v>355.14</v>
      </c>
      <c r="T4" s="63">
        <v>317.64</v>
      </c>
      <c r="U4" s="63"/>
      <c r="V4" s="63">
        <v>37.5</v>
      </c>
      <c r="W4" s="64" t="s">
        <v>1104</v>
      </c>
      <c r="X4" s="90">
        <v>1</v>
      </c>
      <c r="Y4" s="91">
        <v>46173</v>
      </c>
      <c r="Z4" s="92">
        <v>2026</v>
      </c>
      <c r="AA4" s="92">
        <v>355.14</v>
      </c>
      <c r="AB4" s="92">
        <v>317.64</v>
      </c>
      <c r="AC4" s="92"/>
      <c r="AD4" s="92">
        <v>37.5</v>
      </c>
      <c r="AE4" s="93" t="s">
        <v>1104</v>
      </c>
      <c r="AF4" s="61">
        <v>1</v>
      </c>
      <c r="AG4" s="62">
        <v>46173</v>
      </c>
      <c r="AH4" s="63">
        <v>2026</v>
      </c>
      <c r="AI4" s="63">
        <v>355.14</v>
      </c>
      <c r="AJ4" s="63">
        <v>317.64</v>
      </c>
      <c r="AK4" s="63"/>
      <c r="AL4" s="63">
        <v>37.5</v>
      </c>
      <c r="AM4" s="94" t="s">
        <v>1104</v>
      </c>
      <c r="AN4" s="44"/>
      <c r="AO4" s="100" t="s">
        <v>1123</v>
      </c>
      <c r="AP4" s="97" t="s">
        <v>897</v>
      </c>
      <c r="AQ4" s="97" t="s">
        <v>897</v>
      </c>
      <c r="AR4" s="97" t="s">
        <v>896</v>
      </c>
      <c r="AS4" s="98" t="s">
        <v>1142</v>
      </c>
    </row>
    <row r="5" spans="1:45" ht="60">
      <c r="A5" s="294"/>
      <c r="B5" s="189" t="s">
        <v>1077</v>
      </c>
      <c r="C5" s="190">
        <v>46203</v>
      </c>
      <c r="D5" s="191">
        <v>2026</v>
      </c>
      <c r="E5" s="192">
        <v>355.14</v>
      </c>
      <c r="F5" s="192">
        <v>318.95999999999998</v>
      </c>
      <c r="G5" s="192"/>
      <c r="H5" s="193">
        <v>36.18</v>
      </c>
      <c r="I5" s="170">
        <v>2</v>
      </c>
      <c r="J5" s="160">
        <f t="shared" ca="1" si="1"/>
        <v>46203</v>
      </c>
      <c r="K5" s="164">
        <f t="shared" ca="1" si="0"/>
        <v>2026</v>
      </c>
      <c r="L5" s="165">
        <f t="shared" ca="1" si="2"/>
        <v>355.14</v>
      </c>
      <c r="M5" s="165">
        <f t="shared" ca="1" si="3"/>
        <v>318.95999999999998</v>
      </c>
      <c r="N5" s="165">
        <f>0</f>
        <v>0</v>
      </c>
      <c r="O5" s="171">
        <f t="shared" ca="1" si="4"/>
        <v>36.18</v>
      </c>
      <c r="P5" s="142">
        <v>2</v>
      </c>
      <c r="Q5" s="62">
        <v>46203</v>
      </c>
      <c r="R5" s="63">
        <v>2026</v>
      </c>
      <c r="S5" s="63">
        <v>355.14</v>
      </c>
      <c r="T5" s="63">
        <v>318.95999999999998</v>
      </c>
      <c r="U5" s="63"/>
      <c r="V5" s="63">
        <v>36.18</v>
      </c>
      <c r="W5" s="64" t="s">
        <v>1104</v>
      </c>
      <c r="X5" s="90">
        <v>2</v>
      </c>
      <c r="Y5" s="91">
        <v>46203</v>
      </c>
      <c r="Z5" s="92">
        <v>2026</v>
      </c>
      <c r="AA5" s="92">
        <v>355.14</v>
      </c>
      <c r="AB5" s="92">
        <v>318.95999999999998</v>
      </c>
      <c r="AC5" s="92"/>
      <c r="AD5" s="92">
        <v>36.18</v>
      </c>
      <c r="AE5" s="93" t="s">
        <v>1104</v>
      </c>
      <c r="AF5" s="61">
        <v>2</v>
      </c>
      <c r="AG5" s="62">
        <v>46203</v>
      </c>
      <c r="AH5" s="63">
        <v>2026</v>
      </c>
      <c r="AI5" s="63">
        <v>355.14</v>
      </c>
      <c r="AJ5" s="63">
        <v>318.95999999999998</v>
      </c>
      <c r="AK5" s="63"/>
      <c r="AL5" s="63">
        <v>36.18</v>
      </c>
      <c r="AM5" s="94" t="s">
        <v>1104</v>
      </c>
      <c r="AN5" s="44"/>
      <c r="AO5" s="44"/>
      <c r="AP5" s="44"/>
      <c r="AQ5" s="51"/>
      <c r="AR5" s="51"/>
      <c r="AS5" s="38"/>
    </row>
    <row r="6" spans="1:45" ht="60">
      <c r="A6" s="294"/>
      <c r="B6" s="189" t="s">
        <v>1078</v>
      </c>
      <c r="C6" s="190">
        <v>46234</v>
      </c>
      <c r="D6" s="191">
        <v>2026</v>
      </c>
      <c r="E6" s="192">
        <v>355.14</v>
      </c>
      <c r="F6" s="192">
        <v>320.29000000000002</v>
      </c>
      <c r="G6" s="192"/>
      <c r="H6" s="193">
        <v>34.85</v>
      </c>
      <c r="I6" s="170">
        <v>3</v>
      </c>
      <c r="J6" s="160">
        <f t="shared" ca="1" si="1"/>
        <v>46234</v>
      </c>
      <c r="K6" s="164">
        <f t="shared" ca="1" si="0"/>
        <v>2026</v>
      </c>
      <c r="L6" s="165">
        <f t="shared" ca="1" si="2"/>
        <v>355.14</v>
      </c>
      <c r="M6" s="165">
        <f t="shared" ca="1" si="3"/>
        <v>320.29000000000002</v>
      </c>
      <c r="N6" s="165">
        <f>0</f>
        <v>0</v>
      </c>
      <c r="O6" s="171">
        <f t="shared" ca="1" si="4"/>
        <v>34.85</v>
      </c>
      <c r="P6" s="142">
        <v>3</v>
      </c>
      <c r="Q6" s="62">
        <v>46234</v>
      </c>
      <c r="R6" s="63">
        <v>2026</v>
      </c>
      <c r="S6" s="63">
        <v>355.14</v>
      </c>
      <c r="T6" s="63">
        <v>320.29000000000002</v>
      </c>
      <c r="U6" s="63"/>
      <c r="V6" s="63">
        <v>34.85</v>
      </c>
      <c r="W6" s="64" t="s">
        <v>1104</v>
      </c>
      <c r="X6" s="90">
        <v>3</v>
      </c>
      <c r="Y6" s="91">
        <v>46234</v>
      </c>
      <c r="Z6" s="92">
        <v>2026</v>
      </c>
      <c r="AA6" s="92">
        <v>355.14</v>
      </c>
      <c r="AB6" s="92">
        <v>320.29000000000002</v>
      </c>
      <c r="AC6" s="92"/>
      <c r="AD6" s="92">
        <v>34.85</v>
      </c>
      <c r="AE6" s="93" t="s">
        <v>1104</v>
      </c>
      <c r="AF6" s="61">
        <v>3</v>
      </c>
      <c r="AG6" s="62">
        <v>46234</v>
      </c>
      <c r="AH6" s="63">
        <v>2026</v>
      </c>
      <c r="AI6" s="63">
        <v>355.14</v>
      </c>
      <c r="AJ6" s="63">
        <v>320.29000000000002</v>
      </c>
      <c r="AK6" s="63"/>
      <c r="AL6" s="63">
        <v>34.85</v>
      </c>
      <c r="AM6" s="94" t="s">
        <v>1104</v>
      </c>
      <c r="AN6" s="44"/>
      <c r="AO6" s="44"/>
      <c r="AP6" s="44"/>
      <c r="AQ6" s="45"/>
      <c r="AR6" s="45"/>
    </row>
    <row r="7" spans="1:45" ht="60">
      <c r="A7" s="294"/>
      <c r="B7" s="189" t="s">
        <v>1079</v>
      </c>
      <c r="C7" s="190">
        <v>46265</v>
      </c>
      <c r="D7" s="191">
        <v>2026</v>
      </c>
      <c r="E7" s="192">
        <v>355.14</v>
      </c>
      <c r="F7" s="192">
        <v>321.63</v>
      </c>
      <c r="G7" s="192"/>
      <c r="H7" s="193">
        <v>33.51</v>
      </c>
      <c r="I7" s="170">
        <v>4</v>
      </c>
      <c r="J7" s="160">
        <f t="shared" ca="1" si="1"/>
        <v>46265</v>
      </c>
      <c r="K7" s="164">
        <f t="shared" ca="1" si="0"/>
        <v>2026</v>
      </c>
      <c r="L7" s="165">
        <f t="shared" ca="1" si="2"/>
        <v>355.14</v>
      </c>
      <c r="M7" s="165">
        <f t="shared" ca="1" si="3"/>
        <v>321.63</v>
      </c>
      <c r="N7" s="165">
        <f>0</f>
        <v>0</v>
      </c>
      <c r="O7" s="171">
        <f t="shared" ca="1" si="4"/>
        <v>33.51</v>
      </c>
      <c r="P7" s="142">
        <v>4</v>
      </c>
      <c r="Q7" s="62">
        <v>46265</v>
      </c>
      <c r="R7" s="63">
        <v>2026</v>
      </c>
      <c r="S7" s="63">
        <v>355.14</v>
      </c>
      <c r="T7" s="63">
        <v>321.63</v>
      </c>
      <c r="U7" s="63"/>
      <c r="V7" s="63">
        <v>33.51</v>
      </c>
      <c r="W7" s="64" t="s">
        <v>1104</v>
      </c>
      <c r="X7" s="90">
        <v>4</v>
      </c>
      <c r="Y7" s="91">
        <v>46265</v>
      </c>
      <c r="Z7" s="92">
        <v>2026</v>
      </c>
      <c r="AA7" s="92">
        <v>355.14</v>
      </c>
      <c r="AB7" s="92">
        <v>321.63</v>
      </c>
      <c r="AC7" s="92"/>
      <c r="AD7" s="92">
        <v>33.51</v>
      </c>
      <c r="AE7" s="93" t="s">
        <v>1104</v>
      </c>
      <c r="AF7" s="61">
        <v>4</v>
      </c>
      <c r="AG7" s="62">
        <v>46265</v>
      </c>
      <c r="AH7" s="63">
        <v>2026</v>
      </c>
      <c r="AI7" s="63">
        <v>355.14</v>
      </c>
      <c r="AJ7" s="63">
        <v>321.63</v>
      </c>
      <c r="AK7" s="63"/>
      <c r="AL7" s="63">
        <v>33.51</v>
      </c>
      <c r="AM7" s="94" t="s">
        <v>1104</v>
      </c>
      <c r="AN7" s="44"/>
      <c r="AO7" s="44"/>
      <c r="AP7" s="44"/>
      <c r="AQ7" s="45"/>
      <c r="AR7" s="45"/>
    </row>
    <row r="8" spans="1:45" ht="60">
      <c r="A8" s="294"/>
      <c r="B8" s="189" t="s">
        <v>1080</v>
      </c>
      <c r="C8" s="190">
        <v>46295</v>
      </c>
      <c r="D8" s="191">
        <v>2026</v>
      </c>
      <c r="E8" s="192">
        <v>355.14</v>
      </c>
      <c r="F8" s="192">
        <v>322.97000000000003</v>
      </c>
      <c r="G8" s="192"/>
      <c r="H8" s="193">
        <v>32.17</v>
      </c>
      <c r="I8" s="170">
        <v>5</v>
      </c>
      <c r="J8" s="160">
        <f t="shared" ca="1" si="1"/>
        <v>46295</v>
      </c>
      <c r="K8" s="164">
        <f t="shared" ca="1" si="0"/>
        <v>2026</v>
      </c>
      <c r="L8" s="165">
        <f t="shared" ca="1" si="2"/>
        <v>355.14</v>
      </c>
      <c r="M8" s="165">
        <f t="shared" ca="1" si="3"/>
        <v>322.97000000000003</v>
      </c>
      <c r="N8" s="165">
        <f>0</f>
        <v>0</v>
      </c>
      <c r="O8" s="171">
        <f t="shared" ca="1" si="4"/>
        <v>32.17</v>
      </c>
      <c r="P8" s="142">
        <v>5</v>
      </c>
      <c r="Q8" s="62">
        <v>46295</v>
      </c>
      <c r="R8" s="63">
        <v>2026</v>
      </c>
      <c r="S8" s="63">
        <v>355.14</v>
      </c>
      <c r="T8" s="63">
        <v>322.97000000000003</v>
      </c>
      <c r="U8" s="63"/>
      <c r="V8" s="63">
        <v>32.17</v>
      </c>
      <c r="W8" s="64" t="s">
        <v>1104</v>
      </c>
      <c r="X8" s="90">
        <v>5</v>
      </c>
      <c r="Y8" s="91">
        <v>46295</v>
      </c>
      <c r="Z8" s="92">
        <v>2026</v>
      </c>
      <c r="AA8" s="92">
        <v>355.14</v>
      </c>
      <c r="AB8" s="92">
        <v>322.97000000000003</v>
      </c>
      <c r="AC8" s="92"/>
      <c r="AD8" s="92">
        <v>32.17</v>
      </c>
      <c r="AE8" s="93" t="s">
        <v>1104</v>
      </c>
      <c r="AF8" s="61">
        <v>5</v>
      </c>
      <c r="AG8" s="62">
        <v>46295</v>
      </c>
      <c r="AH8" s="63">
        <v>2026</v>
      </c>
      <c r="AI8" s="63">
        <v>355.14</v>
      </c>
      <c r="AJ8" s="63">
        <v>322.97000000000003</v>
      </c>
      <c r="AK8" s="63"/>
      <c r="AL8" s="63">
        <v>32.17</v>
      </c>
      <c r="AM8" s="94" t="s">
        <v>1104</v>
      </c>
      <c r="AN8" s="44"/>
      <c r="AO8" s="44"/>
      <c r="AP8" s="44"/>
      <c r="AQ8" s="45"/>
      <c r="AR8" s="45"/>
    </row>
    <row r="9" spans="1:45" ht="60">
      <c r="A9" s="294"/>
      <c r="B9" s="189" t="s">
        <v>1081</v>
      </c>
      <c r="C9" s="190">
        <v>46326</v>
      </c>
      <c r="D9" s="191">
        <v>2026</v>
      </c>
      <c r="E9" s="192">
        <v>355.14</v>
      </c>
      <c r="F9" s="192">
        <v>324.31</v>
      </c>
      <c r="G9" s="192"/>
      <c r="H9" s="193">
        <v>30.83</v>
      </c>
      <c r="I9" s="170">
        <v>6</v>
      </c>
      <c r="J9" s="160">
        <f t="shared" ca="1" si="1"/>
        <v>46326</v>
      </c>
      <c r="K9" s="164">
        <f t="shared" ca="1" si="0"/>
        <v>2026</v>
      </c>
      <c r="L9" s="165">
        <f t="shared" ca="1" si="2"/>
        <v>355.14</v>
      </c>
      <c r="M9" s="165">
        <f t="shared" ca="1" si="3"/>
        <v>324.31</v>
      </c>
      <c r="N9" s="165">
        <f>0</f>
        <v>0</v>
      </c>
      <c r="O9" s="171">
        <f t="shared" ca="1" si="4"/>
        <v>30.83</v>
      </c>
      <c r="P9" s="142">
        <v>6</v>
      </c>
      <c r="Q9" s="62">
        <v>46326</v>
      </c>
      <c r="R9" s="63">
        <v>2026</v>
      </c>
      <c r="S9" s="63">
        <v>355.14</v>
      </c>
      <c r="T9" s="63">
        <v>324.31</v>
      </c>
      <c r="U9" s="63"/>
      <c r="V9" s="63">
        <v>30.83</v>
      </c>
      <c r="W9" s="64" t="s">
        <v>1104</v>
      </c>
      <c r="X9" s="90">
        <v>6</v>
      </c>
      <c r="Y9" s="91">
        <v>46326</v>
      </c>
      <c r="Z9" s="92">
        <v>2026</v>
      </c>
      <c r="AA9" s="92">
        <v>355.14</v>
      </c>
      <c r="AB9" s="92">
        <v>324.31</v>
      </c>
      <c r="AC9" s="92"/>
      <c r="AD9" s="92">
        <v>30.83</v>
      </c>
      <c r="AE9" s="93" t="s">
        <v>1104</v>
      </c>
      <c r="AF9" s="61">
        <v>6</v>
      </c>
      <c r="AG9" s="62">
        <v>46326</v>
      </c>
      <c r="AH9" s="63">
        <v>2026</v>
      </c>
      <c r="AI9" s="63">
        <v>355.14</v>
      </c>
      <c r="AJ9" s="63">
        <v>324.31</v>
      </c>
      <c r="AK9" s="63"/>
      <c r="AL9" s="63">
        <v>30.83</v>
      </c>
      <c r="AM9" s="94" t="s">
        <v>1104</v>
      </c>
      <c r="AN9" s="44"/>
      <c r="AO9" s="44"/>
      <c r="AP9" s="44"/>
      <c r="AQ9" s="45"/>
      <c r="AR9" s="45"/>
    </row>
    <row r="10" spans="1:45" ht="60">
      <c r="A10" s="294"/>
      <c r="B10" s="189" t="s">
        <v>1082</v>
      </c>
      <c r="C10" s="190">
        <v>46356</v>
      </c>
      <c r="D10" s="191">
        <v>2026</v>
      </c>
      <c r="E10" s="192">
        <v>355.14</v>
      </c>
      <c r="F10" s="192">
        <v>325.66000000000003</v>
      </c>
      <c r="G10" s="192"/>
      <c r="H10" s="193">
        <v>29.48</v>
      </c>
      <c r="I10" s="170">
        <v>7</v>
      </c>
      <c r="J10" s="160">
        <f t="shared" ca="1" si="1"/>
        <v>46356</v>
      </c>
      <c r="K10" s="164">
        <f t="shared" ca="1" si="0"/>
        <v>2026</v>
      </c>
      <c r="L10" s="165">
        <f t="shared" ca="1" si="2"/>
        <v>355.14</v>
      </c>
      <c r="M10" s="165">
        <f t="shared" ca="1" si="3"/>
        <v>325.66000000000003</v>
      </c>
      <c r="N10" s="165">
        <f>0</f>
        <v>0</v>
      </c>
      <c r="O10" s="171">
        <f t="shared" ca="1" si="4"/>
        <v>29.48</v>
      </c>
      <c r="P10" s="142">
        <v>7</v>
      </c>
      <c r="Q10" s="62">
        <v>46356</v>
      </c>
      <c r="R10" s="63">
        <v>2026</v>
      </c>
      <c r="S10" s="63">
        <v>355.14</v>
      </c>
      <c r="T10" s="63">
        <v>325.66000000000003</v>
      </c>
      <c r="U10" s="63"/>
      <c r="V10" s="63">
        <v>29.48</v>
      </c>
      <c r="W10" s="64" t="s">
        <v>1104</v>
      </c>
      <c r="X10" s="90">
        <v>7</v>
      </c>
      <c r="Y10" s="91">
        <v>46356</v>
      </c>
      <c r="Z10" s="92">
        <v>2026</v>
      </c>
      <c r="AA10" s="92">
        <v>355.14</v>
      </c>
      <c r="AB10" s="92">
        <v>325.66000000000003</v>
      </c>
      <c r="AC10" s="92"/>
      <c r="AD10" s="92">
        <v>29.48</v>
      </c>
      <c r="AE10" s="93" t="s">
        <v>1104</v>
      </c>
      <c r="AF10" s="61">
        <v>7</v>
      </c>
      <c r="AG10" s="62">
        <v>46356</v>
      </c>
      <c r="AH10" s="63">
        <v>2026</v>
      </c>
      <c r="AI10" s="63">
        <v>355.14</v>
      </c>
      <c r="AJ10" s="63">
        <v>325.66000000000003</v>
      </c>
      <c r="AK10" s="63"/>
      <c r="AL10" s="63">
        <v>29.48</v>
      </c>
      <c r="AM10" s="94" t="s">
        <v>1104</v>
      </c>
      <c r="AN10" s="44"/>
      <c r="AO10" s="44"/>
      <c r="AP10" s="44"/>
      <c r="AQ10" s="45"/>
      <c r="AR10" s="45"/>
    </row>
    <row r="11" spans="1:45" ht="60">
      <c r="A11" s="294"/>
      <c r="B11" s="189" t="s">
        <v>1083</v>
      </c>
      <c r="C11" s="190">
        <v>46387</v>
      </c>
      <c r="D11" s="191">
        <v>2026</v>
      </c>
      <c r="E11" s="192">
        <v>355.14</v>
      </c>
      <c r="F11" s="192">
        <v>327.02</v>
      </c>
      <c r="G11" s="192"/>
      <c r="H11" s="193">
        <v>28.12</v>
      </c>
      <c r="I11" s="170">
        <v>8</v>
      </c>
      <c r="J11" s="160">
        <f t="shared" ca="1" si="1"/>
        <v>46387</v>
      </c>
      <c r="K11" s="164">
        <f t="shared" ca="1" si="0"/>
        <v>2026</v>
      </c>
      <c r="L11" s="165">
        <f t="shared" ca="1" si="2"/>
        <v>355.14</v>
      </c>
      <c r="M11" s="165">
        <f t="shared" ca="1" si="3"/>
        <v>327.02</v>
      </c>
      <c r="N11" s="165">
        <f>0</f>
        <v>0</v>
      </c>
      <c r="O11" s="171">
        <f t="shared" ca="1" si="4"/>
        <v>28.12</v>
      </c>
      <c r="P11" s="142">
        <v>8</v>
      </c>
      <c r="Q11" s="62">
        <v>46387</v>
      </c>
      <c r="R11" s="63">
        <v>2026</v>
      </c>
      <c r="S11" s="63">
        <v>355.14</v>
      </c>
      <c r="T11" s="63">
        <v>327.02</v>
      </c>
      <c r="U11" s="63"/>
      <c r="V11" s="63">
        <v>28.12</v>
      </c>
      <c r="W11" s="64" t="s">
        <v>1104</v>
      </c>
      <c r="X11" s="90">
        <v>8</v>
      </c>
      <c r="Y11" s="91">
        <v>46387</v>
      </c>
      <c r="Z11" s="92">
        <v>2026</v>
      </c>
      <c r="AA11" s="92">
        <v>355.14</v>
      </c>
      <c r="AB11" s="92">
        <v>327.02</v>
      </c>
      <c r="AC11" s="92"/>
      <c r="AD11" s="92">
        <v>28.12</v>
      </c>
      <c r="AE11" s="93" t="s">
        <v>1104</v>
      </c>
      <c r="AF11" s="61">
        <v>8</v>
      </c>
      <c r="AG11" s="62">
        <v>46387</v>
      </c>
      <c r="AH11" s="63">
        <v>2026</v>
      </c>
      <c r="AI11" s="63">
        <v>355.14</v>
      </c>
      <c r="AJ11" s="63">
        <v>327.02</v>
      </c>
      <c r="AK11" s="63"/>
      <c r="AL11" s="63">
        <v>28.12</v>
      </c>
      <c r="AM11" s="94" t="s">
        <v>1104</v>
      </c>
      <c r="AN11" s="44"/>
      <c r="AO11" s="44"/>
      <c r="AP11" s="44"/>
      <c r="AQ11" s="45"/>
      <c r="AR11" s="45"/>
    </row>
    <row r="12" spans="1:45" ht="60">
      <c r="A12" s="294"/>
      <c r="B12" s="189" t="s">
        <v>1084</v>
      </c>
      <c r="C12" s="190">
        <v>46418</v>
      </c>
      <c r="D12" s="191">
        <v>2027</v>
      </c>
      <c r="E12" s="192">
        <v>355.14</v>
      </c>
      <c r="F12" s="192">
        <v>328.38</v>
      </c>
      <c r="G12" s="192"/>
      <c r="H12" s="193">
        <v>26.76</v>
      </c>
      <c r="I12" s="170">
        <v>9</v>
      </c>
      <c r="J12" s="160">
        <f t="shared" ca="1" si="1"/>
        <v>46418</v>
      </c>
      <c r="K12" s="164">
        <f t="shared" ca="1" si="0"/>
        <v>2027</v>
      </c>
      <c r="L12" s="165">
        <f t="shared" ca="1" si="2"/>
        <v>355.14</v>
      </c>
      <c r="M12" s="165">
        <f t="shared" ca="1" si="3"/>
        <v>328.38</v>
      </c>
      <c r="N12" s="165">
        <f>0</f>
        <v>0</v>
      </c>
      <c r="O12" s="171">
        <f t="shared" ca="1" si="4"/>
        <v>26.76</v>
      </c>
      <c r="P12" s="142">
        <v>9</v>
      </c>
      <c r="Q12" s="62">
        <v>46418</v>
      </c>
      <c r="R12" s="63">
        <v>2027</v>
      </c>
      <c r="S12" s="63">
        <v>355.14</v>
      </c>
      <c r="T12" s="63">
        <v>328.38</v>
      </c>
      <c r="U12" s="63"/>
      <c r="V12" s="63">
        <v>26.76</v>
      </c>
      <c r="W12" s="64" t="s">
        <v>1104</v>
      </c>
      <c r="X12" s="90">
        <v>9</v>
      </c>
      <c r="Y12" s="91">
        <v>46418</v>
      </c>
      <c r="Z12" s="92">
        <v>2027</v>
      </c>
      <c r="AA12" s="92">
        <v>355.14</v>
      </c>
      <c r="AB12" s="92">
        <v>328.38</v>
      </c>
      <c r="AC12" s="92"/>
      <c r="AD12" s="92">
        <v>26.76</v>
      </c>
      <c r="AE12" s="93" t="s">
        <v>1104</v>
      </c>
      <c r="AF12" s="61">
        <v>9</v>
      </c>
      <c r="AG12" s="62">
        <v>46418</v>
      </c>
      <c r="AH12" s="63">
        <v>2027</v>
      </c>
      <c r="AI12" s="63">
        <v>355.14</v>
      </c>
      <c r="AJ12" s="63">
        <v>328.38</v>
      </c>
      <c r="AK12" s="63"/>
      <c r="AL12" s="63">
        <v>26.76</v>
      </c>
      <c r="AM12" s="94" t="s">
        <v>1104</v>
      </c>
      <c r="AN12" s="44"/>
      <c r="AO12" s="44"/>
      <c r="AP12" s="44"/>
      <c r="AQ12" s="45"/>
      <c r="AR12" s="45"/>
    </row>
    <row r="13" spans="1:45" ht="60">
      <c r="A13" s="294"/>
      <c r="B13" s="189" t="s">
        <v>1085</v>
      </c>
      <c r="C13" s="190">
        <v>46446</v>
      </c>
      <c r="D13" s="191">
        <v>2027</v>
      </c>
      <c r="E13" s="192">
        <v>355.14</v>
      </c>
      <c r="F13" s="192">
        <v>329.75</v>
      </c>
      <c r="G13" s="192"/>
      <c r="H13" s="193">
        <v>25.39</v>
      </c>
      <c r="I13" s="170">
        <v>10</v>
      </c>
      <c r="J13" s="160">
        <f t="shared" ca="1" si="1"/>
        <v>46446</v>
      </c>
      <c r="K13" s="164">
        <f t="shared" ca="1" si="0"/>
        <v>2027</v>
      </c>
      <c r="L13" s="165">
        <f t="shared" ca="1" si="2"/>
        <v>355.14</v>
      </c>
      <c r="M13" s="165">
        <f t="shared" ca="1" si="3"/>
        <v>329.75</v>
      </c>
      <c r="N13" s="165">
        <f>0</f>
        <v>0</v>
      </c>
      <c r="O13" s="171">
        <f t="shared" ca="1" si="4"/>
        <v>25.39</v>
      </c>
      <c r="P13" s="142">
        <v>10</v>
      </c>
      <c r="Q13" s="62">
        <v>46446</v>
      </c>
      <c r="R13" s="63">
        <v>2027</v>
      </c>
      <c r="S13" s="63">
        <v>355.14</v>
      </c>
      <c r="T13" s="63">
        <v>329.75</v>
      </c>
      <c r="U13" s="63"/>
      <c r="V13" s="63">
        <v>25.39</v>
      </c>
      <c r="W13" s="64" t="s">
        <v>1104</v>
      </c>
      <c r="X13" s="90">
        <v>10</v>
      </c>
      <c r="Y13" s="91">
        <v>46446</v>
      </c>
      <c r="Z13" s="92">
        <v>2027</v>
      </c>
      <c r="AA13" s="92">
        <v>355.14</v>
      </c>
      <c r="AB13" s="92">
        <v>329.75</v>
      </c>
      <c r="AC13" s="92"/>
      <c r="AD13" s="92">
        <v>25.39</v>
      </c>
      <c r="AE13" s="93" t="s">
        <v>1104</v>
      </c>
      <c r="AF13" s="61">
        <v>10</v>
      </c>
      <c r="AG13" s="62">
        <v>46446</v>
      </c>
      <c r="AH13" s="63">
        <v>2027</v>
      </c>
      <c r="AI13" s="63">
        <v>355.14</v>
      </c>
      <c r="AJ13" s="63">
        <v>329.75</v>
      </c>
      <c r="AK13" s="63"/>
      <c r="AL13" s="63">
        <v>25.39</v>
      </c>
      <c r="AM13" s="94" t="s">
        <v>1104</v>
      </c>
      <c r="AN13" s="44"/>
      <c r="AO13" s="44"/>
      <c r="AP13" s="44"/>
      <c r="AQ13" s="45"/>
      <c r="AR13" s="45"/>
    </row>
    <row r="14" spans="1:45" ht="60">
      <c r="A14" s="294"/>
      <c r="B14" s="189" t="s">
        <v>1086</v>
      </c>
      <c r="C14" s="190">
        <v>46477</v>
      </c>
      <c r="D14" s="191">
        <v>2027</v>
      </c>
      <c r="E14" s="192">
        <v>355.14</v>
      </c>
      <c r="F14" s="192">
        <v>331.13</v>
      </c>
      <c r="G14" s="192"/>
      <c r="H14" s="193">
        <v>24.01</v>
      </c>
      <c r="I14" s="170">
        <v>11</v>
      </c>
      <c r="J14" s="160">
        <f t="shared" ca="1" si="1"/>
        <v>46477</v>
      </c>
      <c r="K14" s="164">
        <f t="shared" ca="1" si="0"/>
        <v>2027</v>
      </c>
      <c r="L14" s="165">
        <f t="shared" ca="1" si="2"/>
        <v>355.14</v>
      </c>
      <c r="M14" s="165">
        <f t="shared" ca="1" si="3"/>
        <v>331.13</v>
      </c>
      <c r="N14" s="165">
        <f>0</f>
        <v>0</v>
      </c>
      <c r="O14" s="171">
        <f t="shared" ca="1" si="4"/>
        <v>24.01</v>
      </c>
      <c r="P14" s="142">
        <v>11</v>
      </c>
      <c r="Q14" s="62">
        <v>46477</v>
      </c>
      <c r="R14" s="63">
        <v>2027</v>
      </c>
      <c r="S14" s="63">
        <v>355.14</v>
      </c>
      <c r="T14" s="63">
        <v>331.13</v>
      </c>
      <c r="U14" s="63"/>
      <c r="V14" s="63">
        <v>24.01</v>
      </c>
      <c r="W14" s="64" t="s">
        <v>1104</v>
      </c>
      <c r="X14" s="90">
        <v>11</v>
      </c>
      <c r="Y14" s="91">
        <v>46477</v>
      </c>
      <c r="Z14" s="92">
        <v>2027</v>
      </c>
      <c r="AA14" s="92">
        <v>355.14</v>
      </c>
      <c r="AB14" s="92">
        <v>331.13</v>
      </c>
      <c r="AC14" s="92"/>
      <c r="AD14" s="92">
        <v>24.01</v>
      </c>
      <c r="AE14" s="93" t="s">
        <v>1104</v>
      </c>
      <c r="AF14" s="61">
        <v>11</v>
      </c>
      <c r="AG14" s="62">
        <v>46477</v>
      </c>
      <c r="AH14" s="63">
        <v>2027</v>
      </c>
      <c r="AI14" s="63">
        <v>355.14</v>
      </c>
      <c r="AJ14" s="63">
        <v>331.13</v>
      </c>
      <c r="AK14" s="63"/>
      <c r="AL14" s="63">
        <v>24.01</v>
      </c>
      <c r="AM14" s="94" t="s">
        <v>1104</v>
      </c>
      <c r="AN14" s="44"/>
      <c r="AO14" s="44"/>
      <c r="AP14" s="44"/>
      <c r="AQ14" s="45"/>
      <c r="AR14" s="45"/>
    </row>
    <row r="15" spans="1:45" ht="60">
      <c r="A15" s="294"/>
      <c r="B15" s="189" t="s">
        <v>1087</v>
      </c>
      <c r="C15" s="190">
        <v>46507</v>
      </c>
      <c r="D15" s="191">
        <v>2027</v>
      </c>
      <c r="E15" s="192">
        <v>355.14</v>
      </c>
      <c r="F15" s="192">
        <v>332.51</v>
      </c>
      <c r="G15" s="192"/>
      <c r="H15" s="193">
        <v>22.63</v>
      </c>
      <c r="I15" s="170">
        <v>12</v>
      </c>
      <c r="J15" s="160">
        <f t="shared" ca="1" si="1"/>
        <v>46507</v>
      </c>
      <c r="K15" s="164">
        <f t="shared" ca="1" si="0"/>
        <v>2027</v>
      </c>
      <c r="L15" s="165">
        <f t="shared" ca="1" si="2"/>
        <v>355.14</v>
      </c>
      <c r="M15" s="165">
        <f t="shared" ca="1" si="3"/>
        <v>332.51</v>
      </c>
      <c r="N15" s="165">
        <f>0</f>
        <v>0</v>
      </c>
      <c r="O15" s="171">
        <f t="shared" ca="1" si="4"/>
        <v>22.63</v>
      </c>
      <c r="P15" s="142">
        <v>12</v>
      </c>
      <c r="Q15" s="62">
        <v>46507</v>
      </c>
      <c r="R15" s="63">
        <v>2027</v>
      </c>
      <c r="S15" s="63">
        <v>355.14</v>
      </c>
      <c r="T15" s="63">
        <v>332.51</v>
      </c>
      <c r="U15" s="63"/>
      <c r="V15" s="63">
        <v>22.63</v>
      </c>
      <c r="W15" s="64" t="s">
        <v>1104</v>
      </c>
      <c r="X15" s="90">
        <v>12</v>
      </c>
      <c r="Y15" s="91">
        <v>46507</v>
      </c>
      <c r="Z15" s="92">
        <v>2027</v>
      </c>
      <c r="AA15" s="92">
        <v>355.14</v>
      </c>
      <c r="AB15" s="92">
        <v>332.51</v>
      </c>
      <c r="AC15" s="92"/>
      <c r="AD15" s="92">
        <v>22.63</v>
      </c>
      <c r="AE15" s="93" t="s">
        <v>1104</v>
      </c>
      <c r="AF15" s="61">
        <v>12</v>
      </c>
      <c r="AG15" s="62">
        <v>46507</v>
      </c>
      <c r="AH15" s="63">
        <v>2027</v>
      </c>
      <c r="AI15" s="63">
        <v>355.14</v>
      </c>
      <c r="AJ15" s="63">
        <v>332.51</v>
      </c>
      <c r="AK15" s="63"/>
      <c r="AL15" s="63">
        <v>22.63</v>
      </c>
      <c r="AM15" s="94" t="s">
        <v>1104</v>
      </c>
      <c r="AN15" s="44"/>
      <c r="AO15" s="44"/>
      <c r="AP15" s="44"/>
      <c r="AQ15" s="45"/>
      <c r="AR15" s="45"/>
    </row>
    <row r="16" spans="1:45" ht="60">
      <c r="A16" s="294"/>
      <c r="B16" s="189" t="s">
        <v>1088</v>
      </c>
      <c r="C16" s="190">
        <v>46538</v>
      </c>
      <c r="D16" s="191">
        <v>2027</v>
      </c>
      <c r="E16" s="192">
        <v>355.14</v>
      </c>
      <c r="F16" s="192">
        <v>333.89</v>
      </c>
      <c r="G16" s="192"/>
      <c r="H16" s="193">
        <v>21.25</v>
      </c>
      <c r="I16" s="170">
        <v>13</v>
      </c>
      <c r="J16" s="160">
        <f t="shared" ca="1" si="1"/>
        <v>46538</v>
      </c>
      <c r="K16" s="164">
        <f t="shared" ca="1" si="0"/>
        <v>2027</v>
      </c>
      <c r="L16" s="165">
        <f t="shared" ca="1" si="2"/>
        <v>355.14</v>
      </c>
      <c r="M16" s="165">
        <f t="shared" ca="1" si="3"/>
        <v>333.89</v>
      </c>
      <c r="N16" s="165">
        <f>0</f>
        <v>0</v>
      </c>
      <c r="O16" s="171">
        <f t="shared" ca="1" si="4"/>
        <v>21.25</v>
      </c>
      <c r="P16" s="142">
        <v>13</v>
      </c>
      <c r="Q16" s="62">
        <v>46538</v>
      </c>
      <c r="R16" s="63">
        <v>2027</v>
      </c>
      <c r="S16" s="63">
        <v>355.14</v>
      </c>
      <c r="T16" s="63">
        <v>333.89</v>
      </c>
      <c r="U16" s="63"/>
      <c r="V16" s="63">
        <v>21.25</v>
      </c>
      <c r="W16" s="64" t="s">
        <v>1104</v>
      </c>
      <c r="X16" s="90">
        <v>13</v>
      </c>
      <c r="Y16" s="91">
        <v>46538</v>
      </c>
      <c r="Z16" s="92">
        <v>2027</v>
      </c>
      <c r="AA16" s="92">
        <v>355.14</v>
      </c>
      <c r="AB16" s="92">
        <v>333.89</v>
      </c>
      <c r="AC16" s="92"/>
      <c r="AD16" s="92">
        <v>21.25</v>
      </c>
      <c r="AE16" s="93" t="s">
        <v>1104</v>
      </c>
      <c r="AF16" s="61">
        <v>13</v>
      </c>
      <c r="AG16" s="62">
        <v>46538</v>
      </c>
      <c r="AH16" s="63">
        <v>2027</v>
      </c>
      <c r="AI16" s="63">
        <v>355.14</v>
      </c>
      <c r="AJ16" s="63">
        <v>333.89</v>
      </c>
      <c r="AK16" s="63"/>
      <c r="AL16" s="63">
        <v>21.25</v>
      </c>
      <c r="AM16" s="94" t="s">
        <v>1104</v>
      </c>
      <c r="AN16" s="44"/>
      <c r="AO16" s="44"/>
      <c r="AP16" s="44"/>
      <c r="AQ16" s="45"/>
      <c r="AR16" s="45"/>
    </row>
    <row r="17" spans="1:44" ht="60">
      <c r="A17" s="294"/>
      <c r="B17" s="189" t="s">
        <v>1089</v>
      </c>
      <c r="C17" s="190">
        <v>46568</v>
      </c>
      <c r="D17" s="191">
        <v>2027</v>
      </c>
      <c r="E17" s="192">
        <v>355.14</v>
      </c>
      <c r="F17" s="192">
        <v>335.28</v>
      </c>
      <c r="G17" s="192"/>
      <c r="H17" s="193">
        <v>19.86</v>
      </c>
      <c r="I17" s="170">
        <v>14</v>
      </c>
      <c r="J17" s="160">
        <f t="shared" ca="1" si="1"/>
        <v>46568</v>
      </c>
      <c r="K17" s="164">
        <f t="shared" ca="1" si="0"/>
        <v>2027</v>
      </c>
      <c r="L17" s="165">
        <f t="shared" ca="1" si="2"/>
        <v>355.14</v>
      </c>
      <c r="M17" s="165">
        <f t="shared" ca="1" si="3"/>
        <v>335.28</v>
      </c>
      <c r="N17" s="165">
        <f>0</f>
        <v>0</v>
      </c>
      <c r="O17" s="171">
        <f t="shared" ca="1" si="4"/>
        <v>19.86</v>
      </c>
      <c r="P17" s="142">
        <v>14</v>
      </c>
      <c r="Q17" s="62">
        <v>46568</v>
      </c>
      <c r="R17" s="63">
        <v>2027</v>
      </c>
      <c r="S17" s="63">
        <v>355.14</v>
      </c>
      <c r="T17" s="63">
        <v>335.28</v>
      </c>
      <c r="U17" s="63"/>
      <c r="V17" s="63">
        <v>19.86</v>
      </c>
      <c r="W17" s="64" t="s">
        <v>1104</v>
      </c>
      <c r="X17" s="90">
        <v>14</v>
      </c>
      <c r="Y17" s="91">
        <v>46568</v>
      </c>
      <c r="Z17" s="92">
        <v>2027</v>
      </c>
      <c r="AA17" s="92">
        <v>355.14</v>
      </c>
      <c r="AB17" s="92">
        <v>335.28</v>
      </c>
      <c r="AC17" s="92"/>
      <c r="AD17" s="92">
        <v>19.86</v>
      </c>
      <c r="AE17" s="93" t="s">
        <v>1104</v>
      </c>
      <c r="AF17" s="61">
        <v>14</v>
      </c>
      <c r="AG17" s="62">
        <v>46568</v>
      </c>
      <c r="AH17" s="63">
        <v>2027</v>
      </c>
      <c r="AI17" s="63">
        <v>355.14</v>
      </c>
      <c r="AJ17" s="63">
        <v>335.28</v>
      </c>
      <c r="AK17" s="63"/>
      <c r="AL17" s="63">
        <v>19.86</v>
      </c>
      <c r="AM17" s="94" t="s">
        <v>1104</v>
      </c>
      <c r="AN17" s="44"/>
      <c r="AO17" s="44"/>
      <c r="AP17" s="44"/>
      <c r="AQ17" s="45"/>
      <c r="AR17" s="45"/>
    </row>
    <row r="18" spans="1:44" ht="60">
      <c r="A18" s="294"/>
      <c r="B18" s="189" t="s">
        <v>1090</v>
      </c>
      <c r="C18" s="190">
        <v>46599</v>
      </c>
      <c r="D18" s="191">
        <v>2027</v>
      </c>
      <c r="E18" s="192">
        <v>355.14</v>
      </c>
      <c r="F18" s="192">
        <v>336.68</v>
      </c>
      <c r="G18" s="192"/>
      <c r="H18" s="193">
        <v>18.46</v>
      </c>
      <c r="I18" s="170">
        <v>15</v>
      </c>
      <c r="J18" s="160">
        <f t="shared" ca="1" si="1"/>
        <v>46599</v>
      </c>
      <c r="K18" s="164">
        <f t="shared" ca="1" si="0"/>
        <v>2027</v>
      </c>
      <c r="L18" s="165">
        <f t="shared" ca="1" si="2"/>
        <v>355.14</v>
      </c>
      <c r="M18" s="165">
        <f t="shared" ca="1" si="3"/>
        <v>336.68</v>
      </c>
      <c r="N18" s="165">
        <f>0</f>
        <v>0</v>
      </c>
      <c r="O18" s="171">
        <f t="shared" ca="1" si="4"/>
        <v>18.46</v>
      </c>
      <c r="P18" s="142">
        <v>15</v>
      </c>
      <c r="Q18" s="62">
        <v>46599</v>
      </c>
      <c r="R18" s="63">
        <v>2027</v>
      </c>
      <c r="S18" s="63">
        <v>355.14</v>
      </c>
      <c r="T18" s="63">
        <v>336.68</v>
      </c>
      <c r="U18" s="63"/>
      <c r="V18" s="63">
        <v>18.46</v>
      </c>
      <c r="W18" s="64" t="s">
        <v>1104</v>
      </c>
      <c r="X18" s="90">
        <v>15</v>
      </c>
      <c r="Y18" s="91">
        <v>46599</v>
      </c>
      <c r="Z18" s="92">
        <v>2027</v>
      </c>
      <c r="AA18" s="92">
        <v>355.14</v>
      </c>
      <c r="AB18" s="92">
        <v>336.68</v>
      </c>
      <c r="AC18" s="92"/>
      <c r="AD18" s="92">
        <v>18.46</v>
      </c>
      <c r="AE18" s="93" t="s">
        <v>1104</v>
      </c>
      <c r="AF18" s="61">
        <v>15</v>
      </c>
      <c r="AG18" s="62">
        <v>46599</v>
      </c>
      <c r="AH18" s="63">
        <v>2027</v>
      </c>
      <c r="AI18" s="63">
        <v>355.14</v>
      </c>
      <c r="AJ18" s="63">
        <v>336.68</v>
      </c>
      <c r="AK18" s="63"/>
      <c r="AL18" s="63">
        <v>18.46</v>
      </c>
      <c r="AM18" s="94" t="s">
        <v>1104</v>
      </c>
      <c r="AN18" s="44"/>
      <c r="AO18" s="44"/>
      <c r="AP18" s="44"/>
      <c r="AQ18" s="45"/>
      <c r="AR18" s="45"/>
    </row>
    <row r="19" spans="1:44" ht="60">
      <c r="A19" s="294"/>
      <c r="B19" s="189" t="s">
        <v>1091</v>
      </c>
      <c r="C19" s="190">
        <v>46630</v>
      </c>
      <c r="D19" s="191">
        <v>2027</v>
      </c>
      <c r="E19" s="192">
        <v>355.14</v>
      </c>
      <c r="F19" s="192">
        <v>338.08</v>
      </c>
      <c r="G19" s="192"/>
      <c r="H19" s="193">
        <v>17.059999999999999</v>
      </c>
      <c r="I19" s="170">
        <v>16</v>
      </c>
      <c r="J19" s="160">
        <f t="shared" ca="1" si="1"/>
        <v>46630</v>
      </c>
      <c r="K19" s="164">
        <f t="shared" ca="1" si="0"/>
        <v>2027</v>
      </c>
      <c r="L19" s="165">
        <f t="shared" ca="1" si="2"/>
        <v>355.14</v>
      </c>
      <c r="M19" s="165">
        <f t="shared" ca="1" si="3"/>
        <v>338.08</v>
      </c>
      <c r="N19" s="165">
        <f>0</f>
        <v>0</v>
      </c>
      <c r="O19" s="171">
        <f t="shared" ca="1" si="4"/>
        <v>17.059999999999999</v>
      </c>
      <c r="P19" s="142">
        <v>16</v>
      </c>
      <c r="Q19" s="62">
        <v>46630</v>
      </c>
      <c r="R19" s="63">
        <v>2027</v>
      </c>
      <c r="S19" s="63">
        <v>355.14</v>
      </c>
      <c r="T19" s="63">
        <v>338.08</v>
      </c>
      <c r="U19" s="63"/>
      <c r="V19" s="63">
        <v>17.059999999999999</v>
      </c>
      <c r="W19" s="64" t="s">
        <v>1104</v>
      </c>
      <c r="X19" s="90">
        <v>16</v>
      </c>
      <c r="Y19" s="91">
        <v>46630</v>
      </c>
      <c r="Z19" s="92">
        <v>2027</v>
      </c>
      <c r="AA19" s="92">
        <v>355.14</v>
      </c>
      <c r="AB19" s="92">
        <v>338.08</v>
      </c>
      <c r="AC19" s="92"/>
      <c r="AD19" s="92">
        <v>17.059999999999999</v>
      </c>
      <c r="AE19" s="93" t="s">
        <v>1104</v>
      </c>
      <c r="AF19" s="61">
        <v>16</v>
      </c>
      <c r="AG19" s="62">
        <v>46630</v>
      </c>
      <c r="AH19" s="63">
        <v>2027</v>
      </c>
      <c r="AI19" s="63">
        <v>355.14</v>
      </c>
      <c r="AJ19" s="63">
        <v>338.08</v>
      </c>
      <c r="AK19" s="63"/>
      <c r="AL19" s="63">
        <v>17.059999999999999</v>
      </c>
      <c r="AM19" s="94" t="s">
        <v>1104</v>
      </c>
      <c r="AN19" s="44"/>
      <c r="AO19" s="44"/>
      <c r="AP19" s="44"/>
      <c r="AQ19" s="45"/>
      <c r="AR19" s="45"/>
    </row>
    <row r="20" spans="1:44" ht="60">
      <c r="A20" s="294"/>
      <c r="B20" s="189" t="s">
        <v>1092</v>
      </c>
      <c r="C20" s="190">
        <v>46660</v>
      </c>
      <c r="D20" s="191">
        <v>2027</v>
      </c>
      <c r="E20" s="192">
        <v>355.14</v>
      </c>
      <c r="F20" s="192">
        <v>339.49</v>
      </c>
      <c r="G20" s="192"/>
      <c r="H20" s="193">
        <v>15.65</v>
      </c>
      <c r="I20" s="170">
        <v>17</v>
      </c>
      <c r="J20" s="160">
        <f t="shared" ca="1" si="1"/>
        <v>46660</v>
      </c>
      <c r="K20" s="164">
        <f t="shared" ca="1" si="0"/>
        <v>2027</v>
      </c>
      <c r="L20" s="165">
        <f t="shared" ca="1" si="2"/>
        <v>355.14</v>
      </c>
      <c r="M20" s="165">
        <f t="shared" ca="1" si="3"/>
        <v>339.49</v>
      </c>
      <c r="N20" s="165">
        <f>0</f>
        <v>0</v>
      </c>
      <c r="O20" s="171">
        <f t="shared" ca="1" si="4"/>
        <v>15.65</v>
      </c>
      <c r="P20" s="142">
        <v>17</v>
      </c>
      <c r="Q20" s="62">
        <v>46660</v>
      </c>
      <c r="R20" s="63">
        <v>2027</v>
      </c>
      <c r="S20" s="63">
        <v>355.14</v>
      </c>
      <c r="T20" s="63">
        <v>339.49</v>
      </c>
      <c r="U20" s="63"/>
      <c r="V20" s="63">
        <v>15.65</v>
      </c>
      <c r="W20" s="64" t="s">
        <v>1104</v>
      </c>
      <c r="X20" s="90">
        <v>17</v>
      </c>
      <c r="Y20" s="91">
        <v>46660</v>
      </c>
      <c r="Z20" s="92">
        <v>2027</v>
      </c>
      <c r="AA20" s="92">
        <v>355.14</v>
      </c>
      <c r="AB20" s="92">
        <v>339.49</v>
      </c>
      <c r="AC20" s="92"/>
      <c r="AD20" s="92">
        <v>15.65</v>
      </c>
      <c r="AE20" s="93" t="s">
        <v>1104</v>
      </c>
      <c r="AF20" s="61">
        <v>17</v>
      </c>
      <c r="AG20" s="62">
        <v>46660</v>
      </c>
      <c r="AH20" s="63">
        <v>2027</v>
      </c>
      <c r="AI20" s="63">
        <v>355.14</v>
      </c>
      <c r="AJ20" s="63">
        <v>339.49</v>
      </c>
      <c r="AK20" s="63"/>
      <c r="AL20" s="63">
        <v>15.65</v>
      </c>
      <c r="AM20" s="94" t="s">
        <v>1104</v>
      </c>
      <c r="AN20" s="44"/>
      <c r="AO20" s="44"/>
      <c r="AP20" s="44"/>
      <c r="AQ20" s="45"/>
      <c r="AR20" s="45"/>
    </row>
    <row r="21" spans="1:44" ht="60">
      <c r="A21" s="294"/>
      <c r="B21" s="189" t="s">
        <v>1093</v>
      </c>
      <c r="C21" s="190">
        <v>46691</v>
      </c>
      <c r="D21" s="191">
        <v>2027</v>
      </c>
      <c r="E21" s="192">
        <v>355.14</v>
      </c>
      <c r="F21" s="192">
        <v>340.91</v>
      </c>
      <c r="G21" s="192"/>
      <c r="H21" s="193">
        <v>14.23</v>
      </c>
      <c r="I21" s="170">
        <v>18</v>
      </c>
      <c r="J21" s="160">
        <f t="shared" ca="1" si="1"/>
        <v>46691</v>
      </c>
      <c r="K21" s="164">
        <f t="shared" ca="1" si="0"/>
        <v>2027</v>
      </c>
      <c r="L21" s="165">
        <f t="shared" ca="1" si="2"/>
        <v>355.14</v>
      </c>
      <c r="M21" s="165">
        <f t="shared" ca="1" si="3"/>
        <v>340.91</v>
      </c>
      <c r="N21" s="165">
        <f>0</f>
        <v>0</v>
      </c>
      <c r="O21" s="171">
        <f t="shared" ca="1" si="4"/>
        <v>14.23</v>
      </c>
      <c r="P21" s="142">
        <v>18</v>
      </c>
      <c r="Q21" s="62">
        <v>46691</v>
      </c>
      <c r="R21" s="63">
        <v>2027</v>
      </c>
      <c r="S21" s="63">
        <v>355.14</v>
      </c>
      <c r="T21" s="63">
        <v>340.91</v>
      </c>
      <c r="U21" s="63"/>
      <c r="V21" s="63">
        <v>14.23</v>
      </c>
      <c r="W21" s="64" t="s">
        <v>1104</v>
      </c>
      <c r="X21" s="90">
        <v>18</v>
      </c>
      <c r="Y21" s="91">
        <v>46691</v>
      </c>
      <c r="Z21" s="92">
        <v>2027</v>
      </c>
      <c r="AA21" s="92">
        <v>355.14</v>
      </c>
      <c r="AB21" s="92">
        <v>340.91</v>
      </c>
      <c r="AC21" s="92"/>
      <c r="AD21" s="92">
        <v>14.23</v>
      </c>
      <c r="AE21" s="93" t="s">
        <v>1104</v>
      </c>
      <c r="AF21" s="61">
        <v>18</v>
      </c>
      <c r="AG21" s="62">
        <v>46691</v>
      </c>
      <c r="AH21" s="63">
        <v>2027</v>
      </c>
      <c r="AI21" s="63">
        <v>355.14</v>
      </c>
      <c r="AJ21" s="63">
        <v>340.91</v>
      </c>
      <c r="AK21" s="63"/>
      <c r="AL21" s="63">
        <v>14.23</v>
      </c>
      <c r="AM21" s="94" t="s">
        <v>1104</v>
      </c>
      <c r="AN21" s="44"/>
      <c r="AO21" s="44"/>
      <c r="AP21" s="44"/>
      <c r="AQ21" s="45"/>
      <c r="AR21" s="45"/>
    </row>
    <row r="22" spans="1:44" ht="60">
      <c r="A22" s="294"/>
      <c r="B22" s="189" t="s">
        <v>1094</v>
      </c>
      <c r="C22" s="190">
        <v>46721</v>
      </c>
      <c r="D22" s="191">
        <v>2027</v>
      </c>
      <c r="E22" s="192">
        <v>355.14</v>
      </c>
      <c r="F22" s="192">
        <v>342.33</v>
      </c>
      <c r="G22" s="192"/>
      <c r="H22" s="193">
        <v>12.81</v>
      </c>
      <c r="I22" s="170">
        <v>19</v>
      </c>
      <c r="J22" s="160">
        <f t="shared" ca="1" si="1"/>
        <v>46721</v>
      </c>
      <c r="K22" s="164">
        <f t="shared" ca="1" si="0"/>
        <v>2027</v>
      </c>
      <c r="L22" s="165">
        <f t="shared" ca="1" si="2"/>
        <v>355.14</v>
      </c>
      <c r="M22" s="165">
        <f t="shared" ca="1" si="3"/>
        <v>342.33</v>
      </c>
      <c r="N22" s="165">
        <f>0</f>
        <v>0</v>
      </c>
      <c r="O22" s="171">
        <f t="shared" ca="1" si="4"/>
        <v>12.81</v>
      </c>
      <c r="P22" s="142">
        <v>19</v>
      </c>
      <c r="Q22" s="62">
        <v>46721</v>
      </c>
      <c r="R22" s="63">
        <v>2027</v>
      </c>
      <c r="S22" s="63">
        <v>355.14</v>
      </c>
      <c r="T22" s="63">
        <v>342.33</v>
      </c>
      <c r="U22" s="63"/>
      <c r="V22" s="63">
        <v>12.81</v>
      </c>
      <c r="W22" s="64" t="s">
        <v>1104</v>
      </c>
      <c r="X22" s="90">
        <v>19</v>
      </c>
      <c r="Y22" s="91">
        <v>46721</v>
      </c>
      <c r="Z22" s="92">
        <v>2027</v>
      </c>
      <c r="AA22" s="92">
        <v>355.14</v>
      </c>
      <c r="AB22" s="92">
        <v>342.33</v>
      </c>
      <c r="AC22" s="92"/>
      <c r="AD22" s="92">
        <v>12.81</v>
      </c>
      <c r="AE22" s="93" t="s">
        <v>1104</v>
      </c>
      <c r="AF22" s="61">
        <v>19</v>
      </c>
      <c r="AG22" s="62">
        <v>46721</v>
      </c>
      <c r="AH22" s="63">
        <v>2027</v>
      </c>
      <c r="AI22" s="63">
        <v>355.14</v>
      </c>
      <c r="AJ22" s="63">
        <v>342.33</v>
      </c>
      <c r="AK22" s="63"/>
      <c r="AL22" s="63">
        <v>12.81</v>
      </c>
      <c r="AM22" s="94" t="s">
        <v>1104</v>
      </c>
      <c r="AN22" s="44"/>
      <c r="AO22" s="44"/>
      <c r="AP22" s="44"/>
      <c r="AQ22" s="45"/>
      <c r="AR22" s="45"/>
    </row>
    <row r="23" spans="1:44" ht="60">
      <c r="A23" s="294"/>
      <c r="B23" s="189" t="s">
        <v>1095</v>
      </c>
      <c r="C23" s="190">
        <v>46752</v>
      </c>
      <c r="D23" s="191">
        <v>2027</v>
      </c>
      <c r="E23" s="192">
        <v>355.14</v>
      </c>
      <c r="F23" s="192">
        <v>343.75</v>
      </c>
      <c r="G23" s="192"/>
      <c r="H23" s="193">
        <v>11.39</v>
      </c>
      <c r="I23" s="170">
        <v>20</v>
      </c>
      <c r="J23" s="160">
        <f t="shared" ca="1" si="1"/>
        <v>46752</v>
      </c>
      <c r="K23" s="164">
        <f t="shared" ca="1" si="0"/>
        <v>2027</v>
      </c>
      <c r="L23" s="165">
        <f t="shared" ca="1" si="2"/>
        <v>355.14</v>
      </c>
      <c r="M23" s="165">
        <f t="shared" ca="1" si="3"/>
        <v>343.75</v>
      </c>
      <c r="N23" s="165">
        <f>0</f>
        <v>0</v>
      </c>
      <c r="O23" s="171">
        <f t="shared" ca="1" si="4"/>
        <v>11.39</v>
      </c>
      <c r="P23" s="142">
        <v>20</v>
      </c>
      <c r="Q23" s="62">
        <v>46752</v>
      </c>
      <c r="R23" s="63">
        <v>2027</v>
      </c>
      <c r="S23" s="63">
        <v>355.14</v>
      </c>
      <c r="T23" s="63">
        <v>343.75</v>
      </c>
      <c r="U23" s="63"/>
      <c r="V23" s="63">
        <v>11.39</v>
      </c>
      <c r="W23" s="64" t="s">
        <v>1104</v>
      </c>
      <c r="X23" s="90">
        <v>20</v>
      </c>
      <c r="Y23" s="91">
        <v>46752</v>
      </c>
      <c r="Z23" s="92">
        <v>2027</v>
      </c>
      <c r="AA23" s="92">
        <v>355.14</v>
      </c>
      <c r="AB23" s="92">
        <v>343.75</v>
      </c>
      <c r="AC23" s="92"/>
      <c r="AD23" s="92">
        <v>11.39</v>
      </c>
      <c r="AE23" s="93" t="s">
        <v>1104</v>
      </c>
      <c r="AF23" s="61">
        <v>20</v>
      </c>
      <c r="AG23" s="62">
        <v>46752</v>
      </c>
      <c r="AH23" s="63">
        <v>2027</v>
      </c>
      <c r="AI23" s="63">
        <v>355.14</v>
      </c>
      <c r="AJ23" s="63">
        <v>343.75</v>
      </c>
      <c r="AK23" s="63"/>
      <c r="AL23" s="63">
        <v>11.39</v>
      </c>
      <c r="AM23" s="94" t="s">
        <v>1104</v>
      </c>
      <c r="AN23" s="44"/>
      <c r="AO23" s="44"/>
      <c r="AP23" s="44"/>
      <c r="AQ23" s="45"/>
      <c r="AR23" s="45"/>
    </row>
    <row r="24" spans="1:44" ht="60">
      <c r="A24" s="294"/>
      <c r="B24" s="189" t="s">
        <v>1096</v>
      </c>
      <c r="C24" s="190">
        <v>46783</v>
      </c>
      <c r="D24" s="191">
        <v>2028</v>
      </c>
      <c r="E24" s="192">
        <v>355.14</v>
      </c>
      <c r="F24" s="192">
        <v>345.18</v>
      </c>
      <c r="G24" s="192"/>
      <c r="H24" s="193">
        <v>9.9600000000000009</v>
      </c>
      <c r="I24" s="170">
        <v>21</v>
      </c>
      <c r="J24" s="160">
        <f t="shared" ca="1" si="1"/>
        <v>46783</v>
      </c>
      <c r="K24" s="164">
        <f t="shared" ca="1" si="0"/>
        <v>2028</v>
      </c>
      <c r="L24" s="165">
        <f t="shared" ca="1" si="2"/>
        <v>355.14</v>
      </c>
      <c r="M24" s="165">
        <f t="shared" ca="1" si="3"/>
        <v>345.18</v>
      </c>
      <c r="N24" s="165">
        <f>0</f>
        <v>0</v>
      </c>
      <c r="O24" s="171">
        <f t="shared" ca="1" si="4"/>
        <v>9.9600000000000009</v>
      </c>
      <c r="P24" s="142">
        <v>21</v>
      </c>
      <c r="Q24" s="62">
        <v>46783</v>
      </c>
      <c r="R24" s="63">
        <v>2028</v>
      </c>
      <c r="S24" s="63">
        <v>355.14</v>
      </c>
      <c r="T24" s="63">
        <v>345.18</v>
      </c>
      <c r="U24" s="63"/>
      <c r="V24" s="63">
        <v>9.9600000000000009</v>
      </c>
      <c r="W24" s="64" t="s">
        <v>1104</v>
      </c>
      <c r="X24" s="90">
        <v>21</v>
      </c>
      <c r="Y24" s="91">
        <v>46783</v>
      </c>
      <c r="Z24" s="92">
        <v>2028</v>
      </c>
      <c r="AA24" s="92">
        <v>355.14</v>
      </c>
      <c r="AB24" s="92">
        <v>345.18</v>
      </c>
      <c r="AC24" s="92"/>
      <c r="AD24" s="92">
        <v>9.9600000000000009</v>
      </c>
      <c r="AE24" s="93" t="s">
        <v>1104</v>
      </c>
      <c r="AF24" s="61">
        <v>21</v>
      </c>
      <c r="AG24" s="62">
        <v>46783</v>
      </c>
      <c r="AH24" s="63">
        <v>2028</v>
      </c>
      <c r="AI24" s="63">
        <v>355.14</v>
      </c>
      <c r="AJ24" s="63">
        <v>345.18</v>
      </c>
      <c r="AK24" s="63"/>
      <c r="AL24" s="63">
        <v>9.9600000000000009</v>
      </c>
      <c r="AM24" s="94" t="s">
        <v>1104</v>
      </c>
      <c r="AN24" s="44"/>
      <c r="AO24" s="44"/>
      <c r="AP24" s="44"/>
      <c r="AQ24" s="45"/>
      <c r="AR24" s="45"/>
    </row>
    <row r="25" spans="1:44" ht="60">
      <c r="A25" s="294"/>
      <c r="B25" s="189" t="s">
        <v>1097</v>
      </c>
      <c r="C25" s="190">
        <v>46812</v>
      </c>
      <c r="D25" s="191">
        <v>2028</v>
      </c>
      <c r="E25" s="192">
        <v>355.14</v>
      </c>
      <c r="F25" s="192">
        <v>346.62</v>
      </c>
      <c r="G25" s="192"/>
      <c r="H25" s="193">
        <v>8.52</v>
      </c>
      <c r="I25" s="170">
        <v>22</v>
      </c>
      <c r="J25" s="160">
        <f t="shared" ca="1" si="1"/>
        <v>46812</v>
      </c>
      <c r="K25" s="164">
        <f t="shared" ca="1" si="0"/>
        <v>2028</v>
      </c>
      <c r="L25" s="165">
        <f t="shared" ca="1" si="2"/>
        <v>355.14</v>
      </c>
      <c r="M25" s="165">
        <f t="shared" ca="1" si="3"/>
        <v>346.62</v>
      </c>
      <c r="N25" s="165">
        <f>0</f>
        <v>0</v>
      </c>
      <c r="O25" s="171">
        <f t="shared" ca="1" si="4"/>
        <v>8.52</v>
      </c>
      <c r="P25" s="142">
        <v>22</v>
      </c>
      <c r="Q25" s="62">
        <v>46812</v>
      </c>
      <c r="R25" s="63">
        <v>2028</v>
      </c>
      <c r="S25" s="63">
        <v>355.14</v>
      </c>
      <c r="T25" s="63">
        <v>346.62</v>
      </c>
      <c r="U25" s="63"/>
      <c r="V25" s="63">
        <v>8.52</v>
      </c>
      <c r="W25" s="64" t="s">
        <v>1104</v>
      </c>
      <c r="X25" s="90">
        <v>22</v>
      </c>
      <c r="Y25" s="91">
        <v>46812</v>
      </c>
      <c r="Z25" s="92">
        <v>2028</v>
      </c>
      <c r="AA25" s="92">
        <v>355.14</v>
      </c>
      <c r="AB25" s="92">
        <v>346.62</v>
      </c>
      <c r="AC25" s="92"/>
      <c r="AD25" s="92">
        <v>8.52</v>
      </c>
      <c r="AE25" s="93" t="s">
        <v>1104</v>
      </c>
      <c r="AF25" s="61">
        <v>22</v>
      </c>
      <c r="AG25" s="62">
        <v>46812</v>
      </c>
      <c r="AH25" s="63">
        <v>2028</v>
      </c>
      <c r="AI25" s="63">
        <v>355.14</v>
      </c>
      <c r="AJ25" s="63">
        <v>346.62</v>
      </c>
      <c r="AK25" s="63"/>
      <c r="AL25" s="63">
        <v>8.52</v>
      </c>
      <c r="AM25" s="94" t="s">
        <v>1104</v>
      </c>
      <c r="AN25" s="44"/>
      <c r="AO25" s="44"/>
      <c r="AP25" s="44"/>
      <c r="AQ25" s="45"/>
      <c r="AR25" s="45"/>
    </row>
    <row r="26" spans="1:44" ht="60">
      <c r="A26" s="294"/>
      <c r="B26" s="189" t="s">
        <v>1098</v>
      </c>
      <c r="C26" s="190">
        <v>46843</v>
      </c>
      <c r="D26" s="191">
        <v>2028</v>
      </c>
      <c r="E26" s="192">
        <v>355.14</v>
      </c>
      <c r="F26" s="192">
        <v>348.07</v>
      </c>
      <c r="G26" s="192"/>
      <c r="H26" s="193">
        <v>7.07</v>
      </c>
      <c r="I26" s="170">
        <v>23</v>
      </c>
      <c r="J26" s="160">
        <f t="shared" ca="1" si="1"/>
        <v>46843</v>
      </c>
      <c r="K26" s="164">
        <f t="shared" ca="1" si="0"/>
        <v>2028</v>
      </c>
      <c r="L26" s="165">
        <f t="shared" ca="1" si="2"/>
        <v>355.14</v>
      </c>
      <c r="M26" s="165">
        <f t="shared" ca="1" si="3"/>
        <v>348.07</v>
      </c>
      <c r="N26" s="165">
        <f>0</f>
        <v>0</v>
      </c>
      <c r="O26" s="171">
        <f t="shared" ca="1" si="4"/>
        <v>7.07</v>
      </c>
      <c r="P26" s="142">
        <v>23</v>
      </c>
      <c r="Q26" s="62">
        <v>46843</v>
      </c>
      <c r="R26" s="63">
        <v>2028</v>
      </c>
      <c r="S26" s="63">
        <v>355.14</v>
      </c>
      <c r="T26" s="63">
        <v>348.07</v>
      </c>
      <c r="U26" s="63"/>
      <c r="V26" s="63">
        <v>7.07</v>
      </c>
      <c r="W26" s="64" t="s">
        <v>1104</v>
      </c>
      <c r="X26" s="90">
        <v>23</v>
      </c>
      <c r="Y26" s="91">
        <v>46843</v>
      </c>
      <c r="Z26" s="92">
        <v>2028</v>
      </c>
      <c r="AA26" s="92">
        <v>355.14</v>
      </c>
      <c r="AB26" s="92">
        <v>348.07</v>
      </c>
      <c r="AC26" s="92"/>
      <c r="AD26" s="92">
        <v>7.07</v>
      </c>
      <c r="AE26" s="93" t="s">
        <v>1104</v>
      </c>
      <c r="AF26" s="61">
        <v>23</v>
      </c>
      <c r="AG26" s="62">
        <v>46843</v>
      </c>
      <c r="AH26" s="63">
        <v>2028</v>
      </c>
      <c r="AI26" s="63">
        <v>355.14</v>
      </c>
      <c r="AJ26" s="63">
        <v>348.07</v>
      </c>
      <c r="AK26" s="63"/>
      <c r="AL26" s="63">
        <v>7.07</v>
      </c>
      <c r="AM26" s="94" t="s">
        <v>1104</v>
      </c>
      <c r="AN26" s="44"/>
      <c r="AO26" s="44"/>
      <c r="AP26" s="44"/>
      <c r="AQ26" s="45"/>
      <c r="AR26" s="45"/>
    </row>
    <row r="27" spans="1:44" ht="60">
      <c r="A27" s="294"/>
      <c r="B27" s="189" t="s">
        <v>1099</v>
      </c>
      <c r="C27" s="190">
        <v>46873</v>
      </c>
      <c r="D27" s="191">
        <v>2028</v>
      </c>
      <c r="E27" s="192">
        <v>355.09</v>
      </c>
      <c r="F27" s="192">
        <v>349.47</v>
      </c>
      <c r="G27" s="192"/>
      <c r="H27" s="193">
        <v>5.62</v>
      </c>
      <c r="I27" s="170">
        <v>24</v>
      </c>
      <c r="J27" s="160">
        <f t="shared" ca="1" si="1"/>
        <v>46873</v>
      </c>
      <c r="K27" s="164">
        <f t="shared" ca="1" si="0"/>
        <v>2028</v>
      </c>
      <c r="L27" s="165">
        <f ca="1">ROUND(M27+O27,2)</f>
        <v>355.09</v>
      </c>
      <c r="M27" s="165">
        <f ca="1">ROUND(P26-ROUND($M$5*$M$7,2),2)</f>
        <v>349.47</v>
      </c>
      <c r="N27" s="165">
        <f>0</f>
        <v>0</v>
      </c>
      <c r="O27" s="171">
        <f t="shared" ca="1" si="4"/>
        <v>5.62</v>
      </c>
      <c r="P27" s="142">
        <v>24</v>
      </c>
      <c r="Q27" s="62">
        <v>46873</v>
      </c>
      <c r="R27" s="63">
        <v>2028</v>
      </c>
      <c r="S27" s="63">
        <v>355.09</v>
      </c>
      <c r="T27" s="63">
        <v>349.47</v>
      </c>
      <c r="U27" s="63"/>
      <c r="V27" s="63">
        <v>5.62</v>
      </c>
      <c r="W27" s="64" t="s">
        <v>1104</v>
      </c>
      <c r="X27" s="90">
        <v>24</v>
      </c>
      <c r="Y27" s="91">
        <v>46873</v>
      </c>
      <c r="Z27" s="92">
        <v>2028</v>
      </c>
      <c r="AA27" s="92">
        <v>355.09</v>
      </c>
      <c r="AB27" s="92">
        <v>349.47</v>
      </c>
      <c r="AC27" s="92"/>
      <c r="AD27" s="92">
        <v>5.62</v>
      </c>
      <c r="AE27" s="93" t="s">
        <v>1104</v>
      </c>
      <c r="AF27" s="61">
        <v>24</v>
      </c>
      <c r="AG27" s="62">
        <v>46873</v>
      </c>
      <c r="AH27" s="63">
        <v>2028</v>
      </c>
      <c r="AI27" s="63">
        <v>355.09</v>
      </c>
      <c r="AJ27" s="63">
        <v>349.47</v>
      </c>
      <c r="AK27" s="63"/>
      <c r="AL27" s="63">
        <v>5.62</v>
      </c>
      <c r="AM27" s="94" t="s">
        <v>1104</v>
      </c>
      <c r="AN27" s="44"/>
      <c r="AO27" s="44"/>
      <c r="AP27" s="44"/>
      <c r="AQ27" s="45"/>
      <c r="AR27" s="45"/>
    </row>
    <row r="28" spans="1:44" ht="75.75" thickBot="1">
      <c r="A28" s="295"/>
      <c r="B28" s="194" t="s">
        <v>1100</v>
      </c>
      <c r="C28" s="195">
        <v>46873</v>
      </c>
      <c r="D28" s="196">
        <v>2028</v>
      </c>
      <c r="E28" s="197">
        <v>1000</v>
      </c>
      <c r="F28" s="197">
        <v>0</v>
      </c>
      <c r="G28" s="197">
        <v>1000</v>
      </c>
      <c r="H28" s="198">
        <v>0</v>
      </c>
      <c r="I28" s="150" t="s">
        <v>1074</v>
      </c>
      <c r="J28" s="172">
        <f ca="1">EOMONTH($M$4,I27)</f>
        <v>46873</v>
      </c>
      <c r="K28" s="173">
        <f t="shared" ca="1" si="0"/>
        <v>2028</v>
      </c>
      <c r="L28" s="174">
        <v>1000</v>
      </c>
      <c r="M28" s="174">
        <f>0</f>
        <v>0</v>
      </c>
      <c r="N28" s="174">
        <f ca="1">ROUND($M$5*$M$7,2)</f>
        <v>1000</v>
      </c>
      <c r="O28" s="175">
        <f>0</f>
        <v>0</v>
      </c>
      <c r="P28" s="143" t="s">
        <v>1100</v>
      </c>
      <c r="Q28" s="66">
        <v>46873</v>
      </c>
      <c r="R28" s="67">
        <v>2028</v>
      </c>
      <c r="S28" s="67">
        <v>1000</v>
      </c>
      <c r="T28" s="67">
        <v>0</v>
      </c>
      <c r="U28" s="67">
        <v>1000</v>
      </c>
      <c r="V28" s="67">
        <v>0</v>
      </c>
      <c r="W28" s="68" t="s">
        <v>1105</v>
      </c>
      <c r="X28" s="103" t="s">
        <v>1100</v>
      </c>
      <c r="Y28" s="105">
        <v>46873</v>
      </c>
      <c r="Z28" s="104">
        <v>2028</v>
      </c>
      <c r="AA28" s="104">
        <v>1000</v>
      </c>
      <c r="AB28" s="104">
        <v>0</v>
      </c>
      <c r="AC28" s="104">
        <v>1000</v>
      </c>
      <c r="AD28" s="104">
        <v>0</v>
      </c>
      <c r="AE28" s="106" t="s">
        <v>1105</v>
      </c>
      <c r="AF28" s="65" t="s">
        <v>1100</v>
      </c>
      <c r="AG28" s="66">
        <v>46873</v>
      </c>
      <c r="AH28" s="67">
        <v>2028</v>
      </c>
      <c r="AI28" s="67">
        <v>1000</v>
      </c>
      <c r="AJ28" s="67">
        <v>0</v>
      </c>
      <c r="AK28" s="67">
        <v>1000</v>
      </c>
      <c r="AL28" s="67">
        <v>0</v>
      </c>
      <c r="AM28" s="107" t="s">
        <v>1105</v>
      </c>
      <c r="AN28" s="44"/>
      <c r="AO28" s="44"/>
      <c r="AP28" s="44"/>
      <c r="AQ28" s="45"/>
      <c r="AR28" s="45"/>
    </row>
    <row r="29" spans="1:44" ht="79.5" thickBot="1">
      <c r="A29" s="296" t="s">
        <v>1110</v>
      </c>
      <c r="B29" s="199" t="s">
        <v>990</v>
      </c>
      <c r="C29" s="200">
        <v>46127</v>
      </c>
      <c r="D29" s="201">
        <v>2026</v>
      </c>
      <c r="E29" s="202">
        <v>2000</v>
      </c>
      <c r="F29" s="202">
        <v>2000</v>
      </c>
      <c r="G29" s="202"/>
      <c r="H29" s="203">
        <v>0</v>
      </c>
      <c r="I29" s="152" t="s">
        <v>990</v>
      </c>
      <c r="J29" s="176">
        <v>46127</v>
      </c>
      <c r="K29" s="178">
        <v>2026</v>
      </c>
      <c r="L29" s="153">
        <v>2000</v>
      </c>
      <c r="M29" s="153">
        <v>2000</v>
      </c>
      <c r="N29" s="153">
        <v>0</v>
      </c>
      <c r="O29" s="154">
        <v>0</v>
      </c>
      <c r="P29" s="144" t="s">
        <v>990</v>
      </c>
      <c r="Q29" s="70">
        <v>46127</v>
      </c>
      <c r="R29" s="71">
        <v>2026</v>
      </c>
      <c r="S29" s="71">
        <v>2000</v>
      </c>
      <c r="T29" s="71">
        <v>2000</v>
      </c>
      <c r="U29" s="59"/>
      <c r="V29" s="71">
        <v>0</v>
      </c>
      <c r="W29" s="72" t="s">
        <v>1103</v>
      </c>
      <c r="X29" s="108" t="s">
        <v>990</v>
      </c>
      <c r="Y29" s="110">
        <v>46127</v>
      </c>
      <c r="Z29" s="117">
        <v>2026</v>
      </c>
      <c r="AA29" s="117">
        <v>2000</v>
      </c>
      <c r="AB29" s="117">
        <v>2000</v>
      </c>
      <c r="AC29" s="115"/>
      <c r="AD29" s="112">
        <v>0</v>
      </c>
      <c r="AE29" s="113" t="s">
        <v>1103</v>
      </c>
      <c r="AF29" s="69" t="s">
        <v>990</v>
      </c>
      <c r="AG29" s="70">
        <v>46127</v>
      </c>
      <c r="AH29" s="71">
        <v>2026</v>
      </c>
      <c r="AI29" s="71">
        <v>2000</v>
      </c>
      <c r="AJ29" s="71">
        <v>2000</v>
      </c>
      <c r="AK29" s="59"/>
      <c r="AL29" s="71">
        <v>0</v>
      </c>
      <c r="AM29" s="72" t="s">
        <v>1103</v>
      </c>
      <c r="AN29" s="45"/>
      <c r="AO29" s="45"/>
      <c r="AP29" s="45"/>
      <c r="AQ29" s="45"/>
      <c r="AR29" s="45"/>
    </row>
    <row r="30" spans="1:44" ht="63.75" thickBot="1">
      <c r="A30" s="297"/>
      <c r="B30" s="189" t="s">
        <v>1076</v>
      </c>
      <c r="C30" s="190">
        <v>46173</v>
      </c>
      <c r="D30" s="191">
        <v>2026</v>
      </c>
      <c r="E30" s="192">
        <v>583.33000000000004</v>
      </c>
      <c r="F30" s="192">
        <v>583.33000000000004</v>
      </c>
      <c r="G30" s="192"/>
      <c r="H30" s="193">
        <v>0</v>
      </c>
      <c r="I30" s="170">
        <v>1</v>
      </c>
      <c r="J30" s="177">
        <v>46173</v>
      </c>
      <c r="K30" s="164">
        <v>2026</v>
      </c>
      <c r="L30" s="148">
        <v>583.33000000000004</v>
      </c>
      <c r="M30" s="148">
        <v>583.33000000000004</v>
      </c>
      <c r="N30" s="148">
        <v>0</v>
      </c>
      <c r="O30" s="149">
        <v>0</v>
      </c>
      <c r="P30" s="145">
        <v>1</v>
      </c>
      <c r="Q30" s="74">
        <v>46173</v>
      </c>
      <c r="R30" s="75">
        <v>2026</v>
      </c>
      <c r="S30" s="75">
        <v>583.33000000000004</v>
      </c>
      <c r="T30" s="75">
        <v>583.33000000000004</v>
      </c>
      <c r="U30" s="63"/>
      <c r="V30" s="75">
        <v>0</v>
      </c>
      <c r="W30" s="76" t="s">
        <v>1104</v>
      </c>
      <c r="X30" s="109">
        <v>1</v>
      </c>
      <c r="Y30" s="111">
        <v>46173</v>
      </c>
      <c r="Z30" s="118">
        <v>2026</v>
      </c>
      <c r="AA30" s="118">
        <v>583.33000000000004</v>
      </c>
      <c r="AB30" s="118">
        <v>583.33000000000004</v>
      </c>
      <c r="AC30" s="116"/>
      <c r="AD30" s="114">
        <v>0</v>
      </c>
      <c r="AE30" s="113" t="s">
        <v>1104</v>
      </c>
      <c r="AF30" s="73">
        <v>1</v>
      </c>
      <c r="AG30" s="74">
        <v>46173</v>
      </c>
      <c r="AH30" s="75">
        <v>2026</v>
      </c>
      <c r="AI30" s="75">
        <v>583.33000000000004</v>
      </c>
      <c r="AJ30" s="75">
        <v>583.33000000000004</v>
      </c>
      <c r="AK30" s="63"/>
      <c r="AL30" s="75">
        <v>0</v>
      </c>
      <c r="AM30" s="76" t="s">
        <v>1104</v>
      </c>
      <c r="AN30" s="45"/>
      <c r="AO30" s="45"/>
      <c r="AP30" s="45"/>
      <c r="AQ30" s="45"/>
      <c r="AR30" s="45"/>
    </row>
    <row r="31" spans="1:44" ht="63.75" thickBot="1">
      <c r="A31" s="297"/>
      <c r="B31" s="189" t="s">
        <v>1077</v>
      </c>
      <c r="C31" s="190">
        <v>46203</v>
      </c>
      <c r="D31" s="191">
        <v>2026</v>
      </c>
      <c r="E31" s="192">
        <v>583.33000000000004</v>
      </c>
      <c r="F31" s="192">
        <v>583.33000000000004</v>
      </c>
      <c r="G31" s="192"/>
      <c r="H31" s="193">
        <v>0</v>
      </c>
      <c r="I31" s="170">
        <v>2</v>
      </c>
      <c r="J31" s="177">
        <v>46203</v>
      </c>
      <c r="K31" s="164">
        <v>2026</v>
      </c>
      <c r="L31" s="148">
        <v>583.33000000000004</v>
      </c>
      <c r="M31" s="148">
        <v>583.33000000000004</v>
      </c>
      <c r="N31" s="148">
        <v>0</v>
      </c>
      <c r="O31" s="149">
        <v>0</v>
      </c>
      <c r="P31" s="145">
        <v>2</v>
      </c>
      <c r="Q31" s="74">
        <v>46203</v>
      </c>
      <c r="R31" s="75">
        <v>2026</v>
      </c>
      <c r="S31" s="75">
        <v>583.33000000000004</v>
      </c>
      <c r="T31" s="75">
        <v>583.33000000000004</v>
      </c>
      <c r="U31" s="63"/>
      <c r="V31" s="75">
        <v>0</v>
      </c>
      <c r="W31" s="76" t="s">
        <v>1104</v>
      </c>
      <c r="X31" s="109">
        <v>2</v>
      </c>
      <c r="Y31" s="111">
        <v>46203</v>
      </c>
      <c r="Z31" s="118">
        <v>2026</v>
      </c>
      <c r="AA31" s="118">
        <v>583.33000000000004</v>
      </c>
      <c r="AB31" s="118">
        <v>583.33000000000004</v>
      </c>
      <c r="AC31" s="116"/>
      <c r="AD31" s="114">
        <v>0</v>
      </c>
      <c r="AE31" s="113" t="s">
        <v>1104</v>
      </c>
      <c r="AF31" s="73">
        <v>2</v>
      </c>
      <c r="AG31" s="74">
        <v>46203</v>
      </c>
      <c r="AH31" s="75">
        <v>2026</v>
      </c>
      <c r="AI31" s="75">
        <v>583.33000000000004</v>
      </c>
      <c r="AJ31" s="75">
        <v>583.33000000000004</v>
      </c>
      <c r="AK31" s="63"/>
      <c r="AL31" s="75">
        <v>0</v>
      </c>
      <c r="AM31" s="76" t="s">
        <v>1104</v>
      </c>
      <c r="AN31" s="45"/>
      <c r="AO31" s="45"/>
      <c r="AP31" s="45"/>
      <c r="AQ31" s="45"/>
      <c r="AR31" s="45"/>
    </row>
    <row r="32" spans="1:44" ht="63.75" thickBot="1">
      <c r="A32" s="297"/>
      <c r="B32" s="189" t="s">
        <v>1078</v>
      </c>
      <c r="C32" s="190">
        <v>46234</v>
      </c>
      <c r="D32" s="191">
        <v>2026</v>
      </c>
      <c r="E32" s="192">
        <v>583.33000000000004</v>
      </c>
      <c r="F32" s="192">
        <v>583.33000000000004</v>
      </c>
      <c r="G32" s="192"/>
      <c r="H32" s="193">
        <v>0</v>
      </c>
      <c r="I32" s="170">
        <v>3</v>
      </c>
      <c r="J32" s="177">
        <v>46234</v>
      </c>
      <c r="K32" s="164">
        <v>2026</v>
      </c>
      <c r="L32" s="148">
        <v>583.33000000000004</v>
      </c>
      <c r="M32" s="148">
        <v>583.33000000000004</v>
      </c>
      <c r="N32" s="148">
        <v>0</v>
      </c>
      <c r="O32" s="149">
        <v>0</v>
      </c>
      <c r="P32" s="145">
        <v>3</v>
      </c>
      <c r="Q32" s="74">
        <v>46234</v>
      </c>
      <c r="R32" s="75">
        <v>2026</v>
      </c>
      <c r="S32" s="75">
        <v>583.33000000000004</v>
      </c>
      <c r="T32" s="75">
        <v>583.33000000000004</v>
      </c>
      <c r="U32" s="63"/>
      <c r="V32" s="75">
        <v>0</v>
      </c>
      <c r="W32" s="76" t="s">
        <v>1104</v>
      </c>
      <c r="X32" s="109">
        <v>3</v>
      </c>
      <c r="Y32" s="111">
        <v>46234</v>
      </c>
      <c r="Z32" s="118">
        <v>2026</v>
      </c>
      <c r="AA32" s="118">
        <v>583.33000000000004</v>
      </c>
      <c r="AB32" s="118">
        <v>583.33000000000004</v>
      </c>
      <c r="AC32" s="116"/>
      <c r="AD32" s="114">
        <v>0</v>
      </c>
      <c r="AE32" s="113" t="s">
        <v>1104</v>
      </c>
      <c r="AF32" s="73">
        <v>3</v>
      </c>
      <c r="AG32" s="74">
        <v>46234</v>
      </c>
      <c r="AH32" s="75">
        <v>2026</v>
      </c>
      <c r="AI32" s="75">
        <v>583.33000000000004</v>
      </c>
      <c r="AJ32" s="75">
        <v>583.33000000000004</v>
      </c>
      <c r="AK32" s="63"/>
      <c r="AL32" s="75">
        <v>0</v>
      </c>
      <c r="AM32" s="76" t="s">
        <v>1104</v>
      </c>
      <c r="AN32" s="45"/>
      <c r="AO32" s="45"/>
      <c r="AP32" s="45"/>
      <c r="AQ32" s="45"/>
      <c r="AR32" s="45"/>
    </row>
    <row r="33" spans="1:44" ht="63.75" thickBot="1">
      <c r="A33" s="297"/>
      <c r="B33" s="189" t="s">
        <v>1079</v>
      </c>
      <c r="C33" s="190">
        <v>46265</v>
      </c>
      <c r="D33" s="191">
        <v>2026</v>
      </c>
      <c r="E33" s="192">
        <v>583.33000000000004</v>
      </c>
      <c r="F33" s="192">
        <v>583.33000000000004</v>
      </c>
      <c r="G33" s="192"/>
      <c r="H33" s="193">
        <v>0</v>
      </c>
      <c r="I33" s="170">
        <v>4</v>
      </c>
      <c r="J33" s="177">
        <v>46265</v>
      </c>
      <c r="K33" s="164">
        <v>2026</v>
      </c>
      <c r="L33" s="148">
        <v>583.33000000000004</v>
      </c>
      <c r="M33" s="148">
        <v>583.33000000000004</v>
      </c>
      <c r="N33" s="148">
        <v>0</v>
      </c>
      <c r="O33" s="149">
        <v>0</v>
      </c>
      <c r="P33" s="145">
        <v>4</v>
      </c>
      <c r="Q33" s="74">
        <v>46265</v>
      </c>
      <c r="R33" s="75">
        <v>2026</v>
      </c>
      <c r="S33" s="75">
        <v>583.33000000000004</v>
      </c>
      <c r="T33" s="75">
        <v>583.33000000000004</v>
      </c>
      <c r="U33" s="63"/>
      <c r="V33" s="75">
        <v>0</v>
      </c>
      <c r="W33" s="76" t="s">
        <v>1104</v>
      </c>
      <c r="X33" s="109">
        <v>4</v>
      </c>
      <c r="Y33" s="111">
        <v>46265</v>
      </c>
      <c r="Z33" s="118">
        <v>2026</v>
      </c>
      <c r="AA33" s="118">
        <v>583.33000000000004</v>
      </c>
      <c r="AB33" s="118">
        <v>583.33000000000004</v>
      </c>
      <c r="AC33" s="116"/>
      <c r="AD33" s="114">
        <v>0</v>
      </c>
      <c r="AE33" s="113" t="s">
        <v>1104</v>
      </c>
      <c r="AF33" s="73">
        <v>4</v>
      </c>
      <c r="AG33" s="74">
        <v>46265</v>
      </c>
      <c r="AH33" s="75">
        <v>2026</v>
      </c>
      <c r="AI33" s="75">
        <v>583.33000000000004</v>
      </c>
      <c r="AJ33" s="75">
        <v>583.33000000000004</v>
      </c>
      <c r="AK33" s="63"/>
      <c r="AL33" s="75">
        <v>0</v>
      </c>
      <c r="AM33" s="76" t="s">
        <v>1104</v>
      </c>
      <c r="AN33" s="45"/>
      <c r="AO33" s="45"/>
      <c r="AP33" s="45"/>
      <c r="AQ33" s="45"/>
      <c r="AR33" s="45"/>
    </row>
    <row r="34" spans="1:44" ht="63.75" thickBot="1">
      <c r="A34" s="297"/>
      <c r="B34" s="189" t="s">
        <v>1080</v>
      </c>
      <c r="C34" s="190">
        <v>46295</v>
      </c>
      <c r="D34" s="191">
        <v>2026</v>
      </c>
      <c r="E34" s="192">
        <v>583.33000000000004</v>
      </c>
      <c r="F34" s="192">
        <v>583.33000000000004</v>
      </c>
      <c r="G34" s="192"/>
      <c r="H34" s="193">
        <v>0</v>
      </c>
      <c r="I34" s="170">
        <v>5</v>
      </c>
      <c r="J34" s="177">
        <v>46295</v>
      </c>
      <c r="K34" s="164">
        <v>2026</v>
      </c>
      <c r="L34" s="148">
        <v>583.33000000000004</v>
      </c>
      <c r="M34" s="148">
        <v>583.33000000000004</v>
      </c>
      <c r="N34" s="148">
        <v>0</v>
      </c>
      <c r="O34" s="149">
        <v>0</v>
      </c>
      <c r="P34" s="145">
        <v>5</v>
      </c>
      <c r="Q34" s="74">
        <v>46295</v>
      </c>
      <c r="R34" s="75">
        <v>2026</v>
      </c>
      <c r="S34" s="75">
        <v>583.33000000000004</v>
      </c>
      <c r="T34" s="75">
        <v>583.33000000000004</v>
      </c>
      <c r="U34" s="63"/>
      <c r="V34" s="75">
        <v>0</v>
      </c>
      <c r="W34" s="76" t="s">
        <v>1104</v>
      </c>
      <c r="X34" s="109">
        <v>5</v>
      </c>
      <c r="Y34" s="111">
        <v>46295</v>
      </c>
      <c r="Z34" s="118">
        <v>2026</v>
      </c>
      <c r="AA34" s="118">
        <v>583.33000000000004</v>
      </c>
      <c r="AB34" s="118">
        <v>583.33000000000004</v>
      </c>
      <c r="AC34" s="116"/>
      <c r="AD34" s="114">
        <v>0</v>
      </c>
      <c r="AE34" s="113" t="s">
        <v>1104</v>
      </c>
      <c r="AF34" s="73">
        <v>5</v>
      </c>
      <c r="AG34" s="74">
        <v>46295</v>
      </c>
      <c r="AH34" s="75">
        <v>2026</v>
      </c>
      <c r="AI34" s="75">
        <v>583.33000000000004</v>
      </c>
      <c r="AJ34" s="75">
        <v>583.33000000000004</v>
      </c>
      <c r="AK34" s="63"/>
      <c r="AL34" s="75">
        <v>0</v>
      </c>
      <c r="AM34" s="76" t="s">
        <v>1104</v>
      </c>
      <c r="AN34" s="45"/>
      <c r="AO34" s="45"/>
      <c r="AP34" s="45"/>
      <c r="AQ34" s="45"/>
      <c r="AR34" s="45"/>
    </row>
    <row r="35" spans="1:44" ht="63.75" thickBot="1">
      <c r="A35" s="297"/>
      <c r="B35" s="189" t="s">
        <v>1081</v>
      </c>
      <c r="C35" s="190">
        <v>46326</v>
      </c>
      <c r="D35" s="191">
        <v>2026</v>
      </c>
      <c r="E35" s="192">
        <v>583.33000000000004</v>
      </c>
      <c r="F35" s="192">
        <v>583.33000000000004</v>
      </c>
      <c r="G35" s="192"/>
      <c r="H35" s="193">
        <v>0</v>
      </c>
      <c r="I35" s="170">
        <v>6</v>
      </c>
      <c r="J35" s="177">
        <v>46326</v>
      </c>
      <c r="K35" s="164">
        <v>2026</v>
      </c>
      <c r="L35" s="148">
        <v>583.33000000000004</v>
      </c>
      <c r="M35" s="148">
        <v>583.33000000000004</v>
      </c>
      <c r="N35" s="148">
        <v>0</v>
      </c>
      <c r="O35" s="149">
        <v>0</v>
      </c>
      <c r="P35" s="145">
        <v>6</v>
      </c>
      <c r="Q35" s="74">
        <v>46326</v>
      </c>
      <c r="R35" s="75">
        <v>2026</v>
      </c>
      <c r="S35" s="75">
        <v>583.33000000000004</v>
      </c>
      <c r="T35" s="75">
        <v>583.33000000000004</v>
      </c>
      <c r="U35" s="63"/>
      <c r="V35" s="75">
        <v>0</v>
      </c>
      <c r="W35" s="76" t="s">
        <v>1104</v>
      </c>
      <c r="X35" s="109">
        <v>6</v>
      </c>
      <c r="Y35" s="111">
        <v>46326</v>
      </c>
      <c r="Z35" s="118">
        <v>2026</v>
      </c>
      <c r="AA35" s="118">
        <v>583.33000000000004</v>
      </c>
      <c r="AB35" s="118">
        <v>583.33000000000004</v>
      </c>
      <c r="AC35" s="116"/>
      <c r="AD35" s="114">
        <v>0</v>
      </c>
      <c r="AE35" s="113" t="s">
        <v>1104</v>
      </c>
      <c r="AF35" s="73">
        <v>6</v>
      </c>
      <c r="AG35" s="74">
        <v>46326</v>
      </c>
      <c r="AH35" s="75">
        <v>2026</v>
      </c>
      <c r="AI35" s="75">
        <v>583.33000000000004</v>
      </c>
      <c r="AJ35" s="75">
        <v>583.33000000000004</v>
      </c>
      <c r="AK35" s="63"/>
      <c r="AL35" s="75">
        <v>0</v>
      </c>
      <c r="AM35" s="76" t="s">
        <v>1104</v>
      </c>
      <c r="AN35" s="45"/>
      <c r="AO35" s="45"/>
      <c r="AP35" s="45"/>
      <c r="AQ35" s="45"/>
      <c r="AR35" s="45"/>
    </row>
    <row r="36" spans="1:44" ht="63.75" thickBot="1">
      <c r="A36" s="297"/>
      <c r="B36" s="189" t="s">
        <v>1082</v>
      </c>
      <c r="C36" s="190">
        <v>46356</v>
      </c>
      <c r="D36" s="191">
        <v>2026</v>
      </c>
      <c r="E36" s="192">
        <v>583.33000000000004</v>
      </c>
      <c r="F36" s="192">
        <v>583.33000000000004</v>
      </c>
      <c r="G36" s="192"/>
      <c r="H36" s="193">
        <v>0</v>
      </c>
      <c r="I36" s="170">
        <v>7</v>
      </c>
      <c r="J36" s="177">
        <v>46356</v>
      </c>
      <c r="K36" s="164">
        <v>2026</v>
      </c>
      <c r="L36" s="148">
        <v>583.33000000000004</v>
      </c>
      <c r="M36" s="148">
        <v>583.33000000000004</v>
      </c>
      <c r="N36" s="148">
        <v>0</v>
      </c>
      <c r="O36" s="149">
        <v>0</v>
      </c>
      <c r="P36" s="145">
        <v>7</v>
      </c>
      <c r="Q36" s="74">
        <v>46356</v>
      </c>
      <c r="R36" s="75">
        <v>2026</v>
      </c>
      <c r="S36" s="75">
        <v>583.33000000000004</v>
      </c>
      <c r="T36" s="75">
        <v>583.33000000000004</v>
      </c>
      <c r="U36" s="63"/>
      <c r="V36" s="75">
        <v>0</v>
      </c>
      <c r="W36" s="76" t="s">
        <v>1104</v>
      </c>
      <c r="X36" s="109">
        <v>7</v>
      </c>
      <c r="Y36" s="111">
        <v>46356</v>
      </c>
      <c r="Z36" s="118">
        <v>2026</v>
      </c>
      <c r="AA36" s="118">
        <v>583.33000000000004</v>
      </c>
      <c r="AB36" s="118">
        <v>583.33000000000004</v>
      </c>
      <c r="AC36" s="116"/>
      <c r="AD36" s="114">
        <v>0</v>
      </c>
      <c r="AE36" s="113" t="s">
        <v>1104</v>
      </c>
      <c r="AF36" s="73">
        <v>7</v>
      </c>
      <c r="AG36" s="74">
        <v>46356</v>
      </c>
      <c r="AH36" s="75">
        <v>2026</v>
      </c>
      <c r="AI36" s="75">
        <v>583.33000000000004</v>
      </c>
      <c r="AJ36" s="75">
        <v>583.33000000000004</v>
      </c>
      <c r="AK36" s="63"/>
      <c r="AL36" s="75">
        <v>0</v>
      </c>
      <c r="AM36" s="76" t="s">
        <v>1104</v>
      </c>
      <c r="AN36" s="45"/>
      <c r="AO36" s="45"/>
      <c r="AP36" s="45"/>
      <c r="AQ36" s="45"/>
      <c r="AR36" s="45"/>
    </row>
    <row r="37" spans="1:44" ht="63.75" thickBot="1">
      <c r="A37" s="297"/>
      <c r="B37" s="189" t="s">
        <v>1083</v>
      </c>
      <c r="C37" s="190">
        <v>46387</v>
      </c>
      <c r="D37" s="191">
        <v>2026</v>
      </c>
      <c r="E37" s="192">
        <v>583.33000000000004</v>
      </c>
      <c r="F37" s="192">
        <v>583.33000000000004</v>
      </c>
      <c r="G37" s="192"/>
      <c r="H37" s="193">
        <v>0</v>
      </c>
      <c r="I37" s="170">
        <v>8</v>
      </c>
      <c r="J37" s="177">
        <v>46387</v>
      </c>
      <c r="K37" s="164">
        <v>2026</v>
      </c>
      <c r="L37" s="148">
        <v>583.33000000000004</v>
      </c>
      <c r="M37" s="148">
        <v>583.33000000000004</v>
      </c>
      <c r="N37" s="148">
        <v>0</v>
      </c>
      <c r="O37" s="149">
        <v>0</v>
      </c>
      <c r="P37" s="145">
        <v>8</v>
      </c>
      <c r="Q37" s="74">
        <v>46387</v>
      </c>
      <c r="R37" s="75">
        <v>2026</v>
      </c>
      <c r="S37" s="75">
        <v>583.33000000000004</v>
      </c>
      <c r="T37" s="75">
        <v>583.33000000000004</v>
      </c>
      <c r="U37" s="63"/>
      <c r="V37" s="75">
        <v>0</v>
      </c>
      <c r="W37" s="76" t="s">
        <v>1104</v>
      </c>
      <c r="X37" s="109">
        <v>8</v>
      </c>
      <c r="Y37" s="111">
        <v>46387</v>
      </c>
      <c r="Z37" s="118">
        <v>2026</v>
      </c>
      <c r="AA37" s="118">
        <v>583.33000000000004</v>
      </c>
      <c r="AB37" s="118">
        <v>583.33000000000004</v>
      </c>
      <c r="AC37" s="116"/>
      <c r="AD37" s="114">
        <v>0</v>
      </c>
      <c r="AE37" s="113" t="s">
        <v>1104</v>
      </c>
      <c r="AF37" s="73">
        <v>8</v>
      </c>
      <c r="AG37" s="74">
        <v>46387</v>
      </c>
      <c r="AH37" s="75">
        <v>2026</v>
      </c>
      <c r="AI37" s="75">
        <v>583.33000000000004</v>
      </c>
      <c r="AJ37" s="75">
        <v>583.33000000000004</v>
      </c>
      <c r="AK37" s="63"/>
      <c r="AL37" s="75">
        <v>0</v>
      </c>
      <c r="AM37" s="76" t="s">
        <v>1104</v>
      </c>
      <c r="AN37" s="45"/>
      <c r="AO37" s="45"/>
      <c r="AP37" s="45"/>
      <c r="AQ37" s="45"/>
      <c r="AR37" s="45"/>
    </row>
    <row r="38" spans="1:44" ht="63.75" thickBot="1">
      <c r="A38" s="297"/>
      <c r="B38" s="189" t="s">
        <v>1084</v>
      </c>
      <c r="C38" s="190">
        <v>46418</v>
      </c>
      <c r="D38" s="191">
        <v>2027</v>
      </c>
      <c r="E38" s="192">
        <v>583.33000000000004</v>
      </c>
      <c r="F38" s="192">
        <v>583.33000000000004</v>
      </c>
      <c r="G38" s="192"/>
      <c r="H38" s="193">
        <v>0</v>
      </c>
      <c r="I38" s="170">
        <v>9</v>
      </c>
      <c r="J38" s="177">
        <v>46418</v>
      </c>
      <c r="K38" s="164">
        <v>2027</v>
      </c>
      <c r="L38" s="148">
        <v>583.33000000000004</v>
      </c>
      <c r="M38" s="148">
        <v>583.33000000000004</v>
      </c>
      <c r="N38" s="148">
        <v>0</v>
      </c>
      <c r="O38" s="149">
        <v>0</v>
      </c>
      <c r="P38" s="145">
        <v>9</v>
      </c>
      <c r="Q38" s="74">
        <v>46418</v>
      </c>
      <c r="R38" s="75">
        <v>2027</v>
      </c>
      <c r="S38" s="75">
        <v>583.33000000000004</v>
      </c>
      <c r="T38" s="75">
        <v>583.33000000000004</v>
      </c>
      <c r="U38" s="63"/>
      <c r="V38" s="75">
        <v>0</v>
      </c>
      <c r="W38" s="76" t="s">
        <v>1104</v>
      </c>
      <c r="X38" s="109">
        <v>9</v>
      </c>
      <c r="Y38" s="111">
        <v>46418</v>
      </c>
      <c r="Z38" s="118">
        <v>2027</v>
      </c>
      <c r="AA38" s="118">
        <v>583.33000000000004</v>
      </c>
      <c r="AB38" s="118">
        <v>583.33000000000004</v>
      </c>
      <c r="AC38" s="116"/>
      <c r="AD38" s="114">
        <v>0</v>
      </c>
      <c r="AE38" s="113" t="s">
        <v>1104</v>
      </c>
      <c r="AF38" s="73">
        <v>9</v>
      </c>
      <c r="AG38" s="74">
        <v>46418</v>
      </c>
      <c r="AH38" s="75">
        <v>2027</v>
      </c>
      <c r="AI38" s="75">
        <v>583.33000000000004</v>
      </c>
      <c r="AJ38" s="75">
        <v>583.33000000000004</v>
      </c>
      <c r="AK38" s="63"/>
      <c r="AL38" s="75">
        <v>0</v>
      </c>
      <c r="AM38" s="76" t="s">
        <v>1104</v>
      </c>
      <c r="AN38" s="45"/>
      <c r="AO38" s="45"/>
      <c r="AP38" s="45"/>
      <c r="AQ38" s="45"/>
      <c r="AR38" s="45"/>
    </row>
    <row r="39" spans="1:44" ht="63.75" thickBot="1">
      <c r="A39" s="297"/>
      <c r="B39" s="189" t="s">
        <v>1085</v>
      </c>
      <c r="C39" s="190">
        <v>46446</v>
      </c>
      <c r="D39" s="191">
        <v>2027</v>
      </c>
      <c r="E39" s="192">
        <v>583.33000000000004</v>
      </c>
      <c r="F39" s="192">
        <v>583.33000000000004</v>
      </c>
      <c r="G39" s="192"/>
      <c r="H39" s="193">
        <v>0</v>
      </c>
      <c r="I39" s="170">
        <v>10</v>
      </c>
      <c r="J39" s="177">
        <v>46446</v>
      </c>
      <c r="K39" s="164">
        <v>2027</v>
      </c>
      <c r="L39" s="148">
        <v>583.33000000000004</v>
      </c>
      <c r="M39" s="148">
        <v>583.33000000000004</v>
      </c>
      <c r="N39" s="148">
        <v>0</v>
      </c>
      <c r="O39" s="149">
        <v>0</v>
      </c>
      <c r="P39" s="145">
        <v>10</v>
      </c>
      <c r="Q39" s="74">
        <v>46446</v>
      </c>
      <c r="R39" s="75">
        <v>2027</v>
      </c>
      <c r="S39" s="75">
        <v>583.33000000000004</v>
      </c>
      <c r="T39" s="75">
        <v>583.33000000000004</v>
      </c>
      <c r="U39" s="63"/>
      <c r="V39" s="75">
        <v>0</v>
      </c>
      <c r="W39" s="76" t="s">
        <v>1104</v>
      </c>
      <c r="X39" s="109">
        <v>10</v>
      </c>
      <c r="Y39" s="111">
        <v>46446</v>
      </c>
      <c r="Z39" s="118">
        <v>2027</v>
      </c>
      <c r="AA39" s="118">
        <v>583.33000000000004</v>
      </c>
      <c r="AB39" s="118">
        <v>583.33000000000004</v>
      </c>
      <c r="AC39" s="116"/>
      <c r="AD39" s="114">
        <v>0</v>
      </c>
      <c r="AE39" s="113" t="s">
        <v>1104</v>
      </c>
      <c r="AF39" s="73">
        <v>10</v>
      </c>
      <c r="AG39" s="74">
        <v>46446</v>
      </c>
      <c r="AH39" s="75">
        <v>2027</v>
      </c>
      <c r="AI39" s="75">
        <v>583.33000000000004</v>
      </c>
      <c r="AJ39" s="75">
        <v>583.33000000000004</v>
      </c>
      <c r="AK39" s="63"/>
      <c r="AL39" s="75">
        <v>0</v>
      </c>
      <c r="AM39" s="76" t="s">
        <v>1104</v>
      </c>
      <c r="AN39" s="45"/>
      <c r="AO39" s="45"/>
      <c r="AP39" s="45"/>
      <c r="AQ39" s="45"/>
      <c r="AR39" s="45"/>
    </row>
    <row r="40" spans="1:44" ht="63.75" thickBot="1">
      <c r="A40" s="297"/>
      <c r="B40" s="189" t="s">
        <v>1086</v>
      </c>
      <c r="C40" s="190">
        <v>46477</v>
      </c>
      <c r="D40" s="191">
        <v>2027</v>
      </c>
      <c r="E40" s="192">
        <v>583.33000000000004</v>
      </c>
      <c r="F40" s="192">
        <v>583.33000000000004</v>
      </c>
      <c r="G40" s="192"/>
      <c r="H40" s="193">
        <v>0</v>
      </c>
      <c r="I40" s="170">
        <v>11</v>
      </c>
      <c r="J40" s="177">
        <v>46477</v>
      </c>
      <c r="K40" s="164">
        <v>2027</v>
      </c>
      <c r="L40" s="148">
        <v>583.33000000000004</v>
      </c>
      <c r="M40" s="148">
        <v>583.33000000000004</v>
      </c>
      <c r="N40" s="148">
        <v>0</v>
      </c>
      <c r="O40" s="149">
        <v>0</v>
      </c>
      <c r="P40" s="145">
        <v>11</v>
      </c>
      <c r="Q40" s="74">
        <v>46477</v>
      </c>
      <c r="R40" s="75">
        <v>2027</v>
      </c>
      <c r="S40" s="75">
        <v>583.33000000000004</v>
      </c>
      <c r="T40" s="75">
        <v>583.33000000000004</v>
      </c>
      <c r="U40" s="63"/>
      <c r="V40" s="75">
        <v>0</v>
      </c>
      <c r="W40" s="76" t="s">
        <v>1104</v>
      </c>
      <c r="X40" s="109">
        <v>11</v>
      </c>
      <c r="Y40" s="111">
        <v>46477</v>
      </c>
      <c r="Z40" s="118">
        <v>2027</v>
      </c>
      <c r="AA40" s="118">
        <v>583.33000000000004</v>
      </c>
      <c r="AB40" s="118">
        <v>583.33000000000004</v>
      </c>
      <c r="AC40" s="116"/>
      <c r="AD40" s="114">
        <v>0</v>
      </c>
      <c r="AE40" s="113" t="s">
        <v>1104</v>
      </c>
      <c r="AF40" s="73">
        <v>11</v>
      </c>
      <c r="AG40" s="74">
        <v>46477</v>
      </c>
      <c r="AH40" s="75">
        <v>2027</v>
      </c>
      <c r="AI40" s="75">
        <v>583.33000000000004</v>
      </c>
      <c r="AJ40" s="75">
        <v>583.33000000000004</v>
      </c>
      <c r="AK40" s="63"/>
      <c r="AL40" s="75">
        <v>0</v>
      </c>
      <c r="AM40" s="76" t="s">
        <v>1104</v>
      </c>
      <c r="AN40" s="45"/>
      <c r="AO40" s="45"/>
      <c r="AP40" s="45"/>
      <c r="AQ40" s="45"/>
      <c r="AR40" s="45"/>
    </row>
    <row r="41" spans="1:44" ht="63.75" thickBot="1">
      <c r="A41" s="297"/>
      <c r="B41" s="189" t="s">
        <v>1087</v>
      </c>
      <c r="C41" s="190">
        <v>46507</v>
      </c>
      <c r="D41" s="191">
        <v>2027</v>
      </c>
      <c r="E41" s="192">
        <v>583.37</v>
      </c>
      <c r="F41" s="192">
        <v>583.37</v>
      </c>
      <c r="G41" s="192"/>
      <c r="H41" s="193">
        <v>0</v>
      </c>
      <c r="I41" s="170">
        <v>12</v>
      </c>
      <c r="J41" s="177">
        <v>46507</v>
      </c>
      <c r="K41" s="164">
        <v>2027</v>
      </c>
      <c r="L41" s="148">
        <v>583.37</v>
      </c>
      <c r="M41" s="148">
        <v>583.37</v>
      </c>
      <c r="N41" s="148">
        <v>0</v>
      </c>
      <c r="O41" s="149">
        <v>0</v>
      </c>
      <c r="P41" s="145">
        <v>12</v>
      </c>
      <c r="Q41" s="74">
        <v>46507</v>
      </c>
      <c r="R41" s="75">
        <v>2027</v>
      </c>
      <c r="S41" s="75">
        <v>583.37</v>
      </c>
      <c r="T41" s="75">
        <v>583.37</v>
      </c>
      <c r="U41" s="63"/>
      <c r="V41" s="75">
        <v>0</v>
      </c>
      <c r="W41" s="76" t="s">
        <v>1104</v>
      </c>
      <c r="X41" s="109">
        <v>12</v>
      </c>
      <c r="Y41" s="111">
        <v>46507</v>
      </c>
      <c r="Z41" s="118">
        <v>2027</v>
      </c>
      <c r="AA41" s="118">
        <v>583.37</v>
      </c>
      <c r="AB41" s="118">
        <v>583.37</v>
      </c>
      <c r="AC41" s="116"/>
      <c r="AD41" s="114">
        <v>0</v>
      </c>
      <c r="AE41" s="113" t="s">
        <v>1104</v>
      </c>
      <c r="AF41" s="73">
        <v>12</v>
      </c>
      <c r="AG41" s="74">
        <v>46507</v>
      </c>
      <c r="AH41" s="75">
        <v>2027</v>
      </c>
      <c r="AI41" s="75">
        <v>583.37</v>
      </c>
      <c r="AJ41" s="75">
        <v>583.37</v>
      </c>
      <c r="AK41" s="63"/>
      <c r="AL41" s="75">
        <v>0</v>
      </c>
      <c r="AM41" s="76" t="s">
        <v>1104</v>
      </c>
      <c r="AN41" s="45"/>
      <c r="AO41" s="45"/>
      <c r="AP41" s="45"/>
      <c r="AQ41" s="45"/>
      <c r="AR41" s="45"/>
    </row>
    <row r="42" spans="1:44" ht="79.5" thickBot="1">
      <c r="A42" s="298"/>
      <c r="B42" s="194" t="s">
        <v>1100</v>
      </c>
      <c r="C42" s="195">
        <v>46507</v>
      </c>
      <c r="D42" s="196">
        <v>2027</v>
      </c>
      <c r="E42" s="197">
        <v>1000</v>
      </c>
      <c r="F42" s="197">
        <v>0</v>
      </c>
      <c r="G42" s="197">
        <v>1000</v>
      </c>
      <c r="H42" s="198">
        <v>0</v>
      </c>
      <c r="I42" s="179" t="s">
        <v>1074</v>
      </c>
      <c r="J42" s="180">
        <v>46507</v>
      </c>
      <c r="K42" s="181">
        <v>2027</v>
      </c>
      <c r="L42" s="182">
        <v>1000</v>
      </c>
      <c r="M42" s="182">
        <v>0</v>
      </c>
      <c r="N42" s="182">
        <v>1000</v>
      </c>
      <c r="O42" s="183">
        <v>0</v>
      </c>
      <c r="P42" s="146" t="s">
        <v>1100</v>
      </c>
      <c r="Q42" s="80">
        <v>46507</v>
      </c>
      <c r="R42" s="77">
        <v>2027</v>
      </c>
      <c r="S42" s="77">
        <v>1000</v>
      </c>
      <c r="T42" s="77">
        <v>0</v>
      </c>
      <c r="U42" s="77">
        <v>1000</v>
      </c>
      <c r="V42" s="77">
        <v>0</v>
      </c>
      <c r="W42" s="78" t="s">
        <v>1105</v>
      </c>
      <c r="X42" s="119" t="s">
        <v>1100</v>
      </c>
      <c r="Y42" s="123">
        <v>46507</v>
      </c>
      <c r="Z42" s="122">
        <v>2027</v>
      </c>
      <c r="AA42" s="122">
        <v>1000</v>
      </c>
      <c r="AB42" s="122">
        <v>0</v>
      </c>
      <c r="AC42" s="122">
        <v>1000</v>
      </c>
      <c r="AD42" s="121">
        <v>0</v>
      </c>
      <c r="AE42" s="120" t="s">
        <v>1105</v>
      </c>
      <c r="AF42" s="79" t="s">
        <v>1100</v>
      </c>
      <c r="AG42" s="80">
        <v>46507</v>
      </c>
      <c r="AH42" s="77">
        <v>2027</v>
      </c>
      <c r="AI42" s="77">
        <v>1000</v>
      </c>
      <c r="AJ42" s="77">
        <v>0</v>
      </c>
      <c r="AK42" s="77">
        <v>1000</v>
      </c>
      <c r="AL42" s="77">
        <v>0</v>
      </c>
      <c r="AM42" s="78" t="s">
        <v>1105</v>
      </c>
      <c r="AN42" s="45"/>
      <c r="AO42" s="45"/>
      <c r="AP42" s="45"/>
      <c r="AQ42" s="45"/>
      <c r="AR42" s="45"/>
    </row>
    <row r="43" spans="1:44" ht="75">
      <c r="A43" s="296" t="s">
        <v>1123</v>
      </c>
      <c r="B43" s="199" t="s">
        <v>990</v>
      </c>
      <c r="C43" s="200">
        <v>46127</v>
      </c>
      <c r="D43" s="201">
        <v>2026</v>
      </c>
      <c r="E43" s="202">
        <v>1500</v>
      </c>
      <c r="F43" s="202">
        <v>1500</v>
      </c>
      <c r="G43" s="202"/>
      <c r="H43" s="203">
        <v>0</v>
      </c>
      <c r="I43" s="151" t="s">
        <v>990</v>
      </c>
      <c r="J43" s="166">
        <f ca="1">$M$58</f>
        <v>46127</v>
      </c>
      <c r="K43" s="167">
        <f t="shared" ref="K43:K80" ca="1" si="5">YEAR(J43)</f>
        <v>2026</v>
      </c>
      <c r="L43" s="168">
        <f ca="1">ROUND($M$59*$M$60,2)</f>
        <v>1500</v>
      </c>
      <c r="M43" s="168">
        <v>1500</v>
      </c>
      <c r="N43" s="168">
        <v>0</v>
      </c>
      <c r="O43" s="169">
        <v>0</v>
      </c>
      <c r="P43" s="144" t="s">
        <v>990</v>
      </c>
      <c r="Q43" s="70">
        <v>46127</v>
      </c>
      <c r="R43" s="71">
        <v>2026</v>
      </c>
      <c r="S43" s="71">
        <v>1500</v>
      </c>
      <c r="T43" s="71">
        <v>1500</v>
      </c>
      <c r="U43" s="59"/>
      <c r="V43" s="71">
        <v>0</v>
      </c>
      <c r="W43" s="72" t="s">
        <v>1103</v>
      </c>
      <c r="X43" s="85" t="s">
        <v>990</v>
      </c>
      <c r="Y43" s="86">
        <v>46127</v>
      </c>
      <c r="Z43" s="87">
        <v>2026</v>
      </c>
      <c r="AA43" s="87">
        <v>1500</v>
      </c>
      <c r="AB43" s="87">
        <v>1500</v>
      </c>
      <c r="AC43" s="87"/>
      <c r="AD43" s="124">
        <v>0</v>
      </c>
      <c r="AE43" s="125" t="s">
        <v>1103</v>
      </c>
      <c r="AF43" s="57" t="s">
        <v>990</v>
      </c>
      <c r="AG43" s="58">
        <v>46127</v>
      </c>
      <c r="AH43" s="59">
        <v>2026</v>
      </c>
      <c r="AI43" s="59">
        <v>1500</v>
      </c>
      <c r="AJ43" s="59">
        <v>1500</v>
      </c>
      <c r="AK43" s="59"/>
      <c r="AL43" s="59">
        <v>0</v>
      </c>
      <c r="AM43" s="89" t="s">
        <v>1103</v>
      </c>
      <c r="AN43" s="45"/>
      <c r="AO43" s="45"/>
      <c r="AP43" s="45"/>
      <c r="AQ43" s="45"/>
      <c r="AR43" s="45"/>
    </row>
    <row r="44" spans="1:44" ht="60">
      <c r="A44" s="297"/>
      <c r="B44" s="189" t="s">
        <v>1076</v>
      </c>
      <c r="C44" s="190">
        <v>46173</v>
      </c>
      <c r="D44" s="191">
        <v>2026</v>
      </c>
      <c r="E44" s="192">
        <v>190.23</v>
      </c>
      <c r="F44" s="192">
        <v>166.64</v>
      </c>
      <c r="G44" s="192"/>
      <c r="H44" s="193">
        <v>23.59</v>
      </c>
      <c r="I44" s="170">
        <v>1</v>
      </c>
      <c r="J44" s="160">
        <f t="shared" ref="J44:J79" ca="1" si="6">EOMONTH($M$58,I44)</f>
        <v>46173</v>
      </c>
      <c r="K44" s="164">
        <f t="shared" ca="1" si="5"/>
        <v>2026</v>
      </c>
      <c r="L44" s="165">
        <f t="shared" ref="L44:L78" ca="1" si="7">ROUND(IF($M$62=0,(($M$59-ROUND($M$59*$M$60,2))-ROUND($M$59*$M$61,2))/($M$63*$M$64),(($M$62/$M$64)*(($M$59-ROUND($M$59*$M$60,2))-ROUND($M$59*$M$61,2)/(1+$M$62/$M$64)^($M$63*$M$64)))/(1-(1+$M$62/$M$64)^(-$M$63*$M$64))),2)</f>
        <v>190.23</v>
      </c>
      <c r="M44" s="165">
        <f t="shared" ref="M44:M78" ca="1" si="8">ROUND(L44-O44,2)</f>
        <v>166.64</v>
      </c>
      <c r="N44" s="165">
        <f>0</f>
        <v>0</v>
      </c>
      <c r="O44" s="171">
        <f t="shared" ref="O44:O79" ca="1" si="9">ROUND(P43*($M$62/$M$64),2)</f>
        <v>23.59</v>
      </c>
      <c r="P44" s="145">
        <v>1</v>
      </c>
      <c r="Q44" s="74">
        <v>46173</v>
      </c>
      <c r="R44" s="75">
        <v>2026</v>
      </c>
      <c r="S44" s="84">
        <v>218.28</v>
      </c>
      <c r="T44" s="84">
        <v>194.69</v>
      </c>
      <c r="U44" s="63"/>
      <c r="V44" s="75">
        <v>23.59</v>
      </c>
      <c r="W44" s="76" t="s">
        <v>1104</v>
      </c>
      <c r="X44" s="90">
        <v>1</v>
      </c>
      <c r="Y44" s="91">
        <v>46173</v>
      </c>
      <c r="Z44" s="92">
        <v>2026</v>
      </c>
      <c r="AA44" s="129">
        <v>190.2</v>
      </c>
      <c r="AB44" s="129">
        <v>166.61</v>
      </c>
      <c r="AC44" s="92"/>
      <c r="AD44" s="130">
        <v>23.59</v>
      </c>
      <c r="AE44" s="128" t="s">
        <v>1104</v>
      </c>
      <c r="AF44" s="61">
        <v>1</v>
      </c>
      <c r="AG44" s="62">
        <v>46173</v>
      </c>
      <c r="AH44" s="63">
        <v>2026</v>
      </c>
      <c r="AI44" s="63">
        <v>190.23</v>
      </c>
      <c r="AJ44" s="63">
        <v>166.64</v>
      </c>
      <c r="AK44" s="63"/>
      <c r="AL44" s="63">
        <v>23.59</v>
      </c>
      <c r="AM44" s="94" t="s">
        <v>1104</v>
      </c>
      <c r="AN44" s="45"/>
      <c r="AO44" s="45"/>
      <c r="AP44" s="45"/>
      <c r="AQ44" s="45"/>
      <c r="AR44" s="45"/>
    </row>
    <row r="45" spans="1:44" ht="60">
      <c r="A45" s="297"/>
      <c r="B45" s="189" t="s">
        <v>1077</v>
      </c>
      <c r="C45" s="190">
        <v>46203</v>
      </c>
      <c r="D45" s="191">
        <v>2026</v>
      </c>
      <c r="E45" s="192">
        <v>190.23</v>
      </c>
      <c r="F45" s="192">
        <v>167.1</v>
      </c>
      <c r="G45" s="192"/>
      <c r="H45" s="193">
        <v>23.13</v>
      </c>
      <c r="I45" s="170">
        <v>2</v>
      </c>
      <c r="J45" s="160">
        <f t="shared" ca="1" si="6"/>
        <v>46203</v>
      </c>
      <c r="K45" s="164">
        <f t="shared" ca="1" si="5"/>
        <v>2026</v>
      </c>
      <c r="L45" s="165">
        <f t="shared" ca="1" si="7"/>
        <v>190.23</v>
      </c>
      <c r="M45" s="165">
        <f t="shared" ca="1" si="8"/>
        <v>167.1</v>
      </c>
      <c r="N45" s="165">
        <f>0</f>
        <v>0</v>
      </c>
      <c r="O45" s="171">
        <f t="shared" ca="1" si="9"/>
        <v>23.13</v>
      </c>
      <c r="P45" s="145">
        <v>2</v>
      </c>
      <c r="Q45" s="74">
        <v>46203</v>
      </c>
      <c r="R45" s="75">
        <v>2026</v>
      </c>
      <c r="S45" s="84">
        <v>218.28</v>
      </c>
      <c r="T45" s="84">
        <v>195.23</v>
      </c>
      <c r="U45" s="63"/>
      <c r="V45" s="84">
        <v>23.05</v>
      </c>
      <c r="W45" s="76" t="s">
        <v>1104</v>
      </c>
      <c r="X45" s="90">
        <v>2</v>
      </c>
      <c r="Y45" s="91">
        <v>46203</v>
      </c>
      <c r="Z45" s="92">
        <v>2026</v>
      </c>
      <c r="AA45" s="129">
        <v>190.2</v>
      </c>
      <c r="AB45" s="129">
        <v>167.07</v>
      </c>
      <c r="AC45" s="92"/>
      <c r="AD45" s="130">
        <v>23.13</v>
      </c>
      <c r="AE45" s="128" t="s">
        <v>1104</v>
      </c>
      <c r="AF45" s="61">
        <v>2</v>
      </c>
      <c r="AG45" s="62">
        <v>46203</v>
      </c>
      <c r="AH45" s="63">
        <v>2026</v>
      </c>
      <c r="AI45" s="63">
        <v>190.23</v>
      </c>
      <c r="AJ45" s="63">
        <v>167.1</v>
      </c>
      <c r="AK45" s="63"/>
      <c r="AL45" s="63">
        <v>23.13</v>
      </c>
      <c r="AM45" s="94" t="s">
        <v>1104</v>
      </c>
      <c r="AN45" s="45"/>
      <c r="AO45" s="45"/>
      <c r="AP45" s="45"/>
      <c r="AQ45" s="45"/>
      <c r="AR45" s="45"/>
    </row>
    <row r="46" spans="1:44" ht="60">
      <c r="A46" s="297"/>
      <c r="B46" s="189" t="s">
        <v>1078</v>
      </c>
      <c r="C46" s="190">
        <v>46234</v>
      </c>
      <c r="D46" s="191">
        <v>2026</v>
      </c>
      <c r="E46" s="192">
        <v>190.23</v>
      </c>
      <c r="F46" s="192">
        <v>167.57</v>
      </c>
      <c r="G46" s="192"/>
      <c r="H46" s="193">
        <v>22.66</v>
      </c>
      <c r="I46" s="170">
        <v>3</v>
      </c>
      <c r="J46" s="160">
        <f t="shared" ca="1" si="6"/>
        <v>46234</v>
      </c>
      <c r="K46" s="164">
        <f t="shared" ca="1" si="5"/>
        <v>2026</v>
      </c>
      <c r="L46" s="165">
        <f t="shared" ca="1" si="7"/>
        <v>190.23</v>
      </c>
      <c r="M46" s="165">
        <f t="shared" ca="1" si="8"/>
        <v>167.57</v>
      </c>
      <c r="N46" s="165">
        <f>0</f>
        <v>0</v>
      </c>
      <c r="O46" s="171">
        <f t="shared" ca="1" si="9"/>
        <v>22.66</v>
      </c>
      <c r="P46" s="145">
        <v>3</v>
      </c>
      <c r="Q46" s="74">
        <v>46234</v>
      </c>
      <c r="R46" s="75">
        <v>2026</v>
      </c>
      <c r="S46" s="84">
        <v>218.28</v>
      </c>
      <c r="T46" s="84">
        <v>195.77</v>
      </c>
      <c r="U46" s="63"/>
      <c r="V46" s="84">
        <v>22.51</v>
      </c>
      <c r="W46" s="76" t="s">
        <v>1104</v>
      </c>
      <c r="X46" s="90">
        <v>3</v>
      </c>
      <c r="Y46" s="91">
        <v>46234</v>
      </c>
      <c r="Z46" s="92">
        <v>2026</v>
      </c>
      <c r="AA46" s="129">
        <v>190.2</v>
      </c>
      <c r="AB46" s="129">
        <v>167.54</v>
      </c>
      <c r="AC46" s="92"/>
      <c r="AD46" s="130">
        <v>22.66</v>
      </c>
      <c r="AE46" s="128" t="s">
        <v>1104</v>
      </c>
      <c r="AF46" s="61">
        <v>3</v>
      </c>
      <c r="AG46" s="62">
        <v>46234</v>
      </c>
      <c r="AH46" s="63">
        <v>2026</v>
      </c>
      <c r="AI46" s="63">
        <v>190.23</v>
      </c>
      <c r="AJ46" s="63">
        <v>167.57</v>
      </c>
      <c r="AK46" s="63"/>
      <c r="AL46" s="63">
        <v>22.66</v>
      </c>
      <c r="AM46" s="94" t="s">
        <v>1104</v>
      </c>
      <c r="AN46" s="45"/>
      <c r="AO46" s="45"/>
      <c r="AP46" s="45"/>
      <c r="AQ46" s="45"/>
      <c r="AR46" s="45"/>
    </row>
    <row r="47" spans="1:44" ht="60">
      <c r="A47" s="297"/>
      <c r="B47" s="189" t="s">
        <v>1079</v>
      </c>
      <c r="C47" s="190">
        <v>46265</v>
      </c>
      <c r="D47" s="191">
        <v>2026</v>
      </c>
      <c r="E47" s="192">
        <v>190.23</v>
      </c>
      <c r="F47" s="192">
        <v>168.03</v>
      </c>
      <c r="G47" s="192"/>
      <c r="H47" s="193">
        <v>22.2</v>
      </c>
      <c r="I47" s="170">
        <v>4</v>
      </c>
      <c r="J47" s="160">
        <f t="shared" ca="1" si="6"/>
        <v>46265</v>
      </c>
      <c r="K47" s="164">
        <f t="shared" ca="1" si="5"/>
        <v>2026</v>
      </c>
      <c r="L47" s="165">
        <f t="shared" ca="1" si="7"/>
        <v>190.23</v>
      </c>
      <c r="M47" s="165">
        <f t="shared" ca="1" si="8"/>
        <v>168.03</v>
      </c>
      <c r="N47" s="165">
        <f>0</f>
        <v>0</v>
      </c>
      <c r="O47" s="171">
        <f t="shared" ca="1" si="9"/>
        <v>22.2</v>
      </c>
      <c r="P47" s="145">
        <v>4</v>
      </c>
      <c r="Q47" s="74">
        <v>46265</v>
      </c>
      <c r="R47" s="75">
        <v>2026</v>
      </c>
      <c r="S47" s="84">
        <v>218.28</v>
      </c>
      <c r="T47" s="84">
        <v>196.31</v>
      </c>
      <c r="U47" s="63"/>
      <c r="V47" s="84">
        <v>21.97</v>
      </c>
      <c r="W47" s="76" t="s">
        <v>1104</v>
      </c>
      <c r="X47" s="90">
        <v>4</v>
      </c>
      <c r="Y47" s="91">
        <v>46265</v>
      </c>
      <c r="Z47" s="92">
        <v>2026</v>
      </c>
      <c r="AA47" s="129">
        <v>190.2</v>
      </c>
      <c r="AB47" s="129">
        <v>168</v>
      </c>
      <c r="AC47" s="92"/>
      <c r="AD47" s="130">
        <v>22.2</v>
      </c>
      <c r="AE47" s="128" t="s">
        <v>1104</v>
      </c>
      <c r="AF47" s="61">
        <v>4</v>
      </c>
      <c r="AG47" s="62">
        <v>46265</v>
      </c>
      <c r="AH47" s="63">
        <v>2026</v>
      </c>
      <c r="AI47" s="63">
        <v>190.23</v>
      </c>
      <c r="AJ47" s="63">
        <v>168.03</v>
      </c>
      <c r="AK47" s="63"/>
      <c r="AL47" s="63">
        <v>22.2</v>
      </c>
      <c r="AM47" s="94" t="s">
        <v>1104</v>
      </c>
      <c r="AN47" s="45"/>
      <c r="AO47" s="45"/>
      <c r="AP47" s="45"/>
      <c r="AQ47" s="45"/>
      <c r="AR47" s="45"/>
    </row>
    <row r="48" spans="1:44" ht="60">
      <c r="A48" s="297"/>
      <c r="B48" s="189" t="s">
        <v>1080</v>
      </c>
      <c r="C48" s="190">
        <v>46295</v>
      </c>
      <c r="D48" s="191">
        <v>2026</v>
      </c>
      <c r="E48" s="192">
        <v>190.23</v>
      </c>
      <c r="F48" s="192">
        <v>168.5</v>
      </c>
      <c r="G48" s="192"/>
      <c r="H48" s="193">
        <v>21.73</v>
      </c>
      <c r="I48" s="170">
        <v>5</v>
      </c>
      <c r="J48" s="160">
        <f t="shared" ca="1" si="6"/>
        <v>46295</v>
      </c>
      <c r="K48" s="164">
        <f t="shared" ca="1" si="5"/>
        <v>2026</v>
      </c>
      <c r="L48" s="165">
        <f t="shared" ca="1" si="7"/>
        <v>190.23</v>
      </c>
      <c r="M48" s="165">
        <f t="shared" ca="1" si="8"/>
        <v>168.5</v>
      </c>
      <c r="N48" s="165">
        <f>0</f>
        <v>0</v>
      </c>
      <c r="O48" s="171">
        <f t="shared" ca="1" si="9"/>
        <v>21.73</v>
      </c>
      <c r="P48" s="145">
        <v>5</v>
      </c>
      <c r="Q48" s="74">
        <v>46295</v>
      </c>
      <c r="R48" s="75">
        <v>2026</v>
      </c>
      <c r="S48" s="84">
        <v>218.28</v>
      </c>
      <c r="T48" s="84">
        <v>196.85</v>
      </c>
      <c r="U48" s="63"/>
      <c r="V48" s="84">
        <v>21.43</v>
      </c>
      <c r="W48" s="76" t="s">
        <v>1104</v>
      </c>
      <c r="X48" s="90">
        <v>5</v>
      </c>
      <c r="Y48" s="91">
        <v>46295</v>
      </c>
      <c r="Z48" s="92">
        <v>2026</v>
      </c>
      <c r="AA48" s="129">
        <v>190.2</v>
      </c>
      <c r="AB48" s="129">
        <v>168.47</v>
      </c>
      <c r="AC48" s="92"/>
      <c r="AD48" s="130">
        <v>21.73</v>
      </c>
      <c r="AE48" s="128" t="s">
        <v>1104</v>
      </c>
      <c r="AF48" s="61">
        <v>5</v>
      </c>
      <c r="AG48" s="62">
        <v>46295</v>
      </c>
      <c r="AH48" s="63">
        <v>2026</v>
      </c>
      <c r="AI48" s="63">
        <v>190.23</v>
      </c>
      <c r="AJ48" s="63">
        <v>168.5</v>
      </c>
      <c r="AK48" s="63"/>
      <c r="AL48" s="63">
        <v>21.73</v>
      </c>
      <c r="AM48" s="94" t="s">
        <v>1104</v>
      </c>
      <c r="AN48" s="45"/>
      <c r="AO48" s="45"/>
      <c r="AP48" s="45"/>
      <c r="AQ48" s="45"/>
      <c r="AR48" s="45"/>
    </row>
    <row r="49" spans="1:44" ht="60">
      <c r="A49" s="297"/>
      <c r="B49" s="189" t="s">
        <v>1081</v>
      </c>
      <c r="C49" s="190">
        <v>46326</v>
      </c>
      <c r="D49" s="191">
        <v>2026</v>
      </c>
      <c r="E49" s="192">
        <v>190.23</v>
      </c>
      <c r="F49" s="192">
        <v>168.97</v>
      </c>
      <c r="G49" s="192"/>
      <c r="H49" s="193">
        <v>21.26</v>
      </c>
      <c r="I49" s="170">
        <v>6</v>
      </c>
      <c r="J49" s="160">
        <f t="shared" ca="1" si="6"/>
        <v>46326</v>
      </c>
      <c r="K49" s="164">
        <f t="shared" ca="1" si="5"/>
        <v>2026</v>
      </c>
      <c r="L49" s="165">
        <f t="shared" ca="1" si="7"/>
        <v>190.23</v>
      </c>
      <c r="M49" s="165">
        <f t="shared" ca="1" si="8"/>
        <v>168.97</v>
      </c>
      <c r="N49" s="165">
        <f>0</f>
        <v>0</v>
      </c>
      <c r="O49" s="171">
        <f t="shared" ca="1" si="9"/>
        <v>21.26</v>
      </c>
      <c r="P49" s="145">
        <v>6</v>
      </c>
      <c r="Q49" s="74">
        <v>46326</v>
      </c>
      <c r="R49" s="75">
        <v>2026</v>
      </c>
      <c r="S49" s="84">
        <v>218.28</v>
      </c>
      <c r="T49" s="84">
        <v>197.4</v>
      </c>
      <c r="U49" s="63"/>
      <c r="V49" s="84">
        <v>20.88</v>
      </c>
      <c r="W49" s="76" t="s">
        <v>1104</v>
      </c>
      <c r="X49" s="90">
        <v>6</v>
      </c>
      <c r="Y49" s="91">
        <v>46326</v>
      </c>
      <c r="Z49" s="92">
        <v>2026</v>
      </c>
      <c r="AA49" s="129">
        <v>190.2</v>
      </c>
      <c r="AB49" s="129">
        <v>168.94</v>
      </c>
      <c r="AC49" s="92"/>
      <c r="AD49" s="130">
        <v>21.26</v>
      </c>
      <c r="AE49" s="128" t="s">
        <v>1104</v>
      </c>
      <c r="AF49" s="61">
        <v>6</v>
      </c>
      <c r="AG49" s="62">
        <v>46326</v>
      </c>
      <c r="AH49" s="63">
        <v>2026</v>
      </c>
      <c r="AI49" s="63">
        <v>190.23</v>
      </c>
      <c r="AJ49" s="63">
        <v>168.97</v>
      </c>
      <c r="AK49" s="63"/>
      <c r="AL49" s="63">
        <v>21.26</v>
      </c>
      <c r="AM49" s="94" t="s">
        <v>1104</v>
      </c>
      <c r="AN49" s="45"/>
      <c r="AO49" s="45"/>
      <c r="AP49" s="45"/>
      <c r="AQ49" s="45"/>
      <c r="AR49" s="45"/>
    </row>
    <row r="50" spans="1:44" ht="60">
      <c r="A50" s="297"/>
      <c r="B50" s="189" t="s">
        <v>1082</v>
      </c>
      <c r="C50" s="190">
        <v>46356</v>
      </c>
      <c r="D50" s="191">
        <v>2026</v>
      </c>
      <c r="E50" s="192">
        <v>190.23</v>
      </c>
      <c r="F50" s="192">
        <v>169.44</v>
      </c>
      <c r="G50" s="192"/>
      <c r="H50" s="193">
        <v>20.79</v>
      </c>
      <c r="I50" s="170">
        <v>7</v>
      </c>
      <c r="J50" s="160">
        <f t="shared" ca="1" si="6"/>
        <v>46356</v>
      </c>
      <c r="K50" s="164">
        <f t="shared" ca="1" si="5"/>
        <v>2026</v>
      </c>
      <c r="L50" s="165">
        <f t="shared" ca="1" si="7"/>
        <v>190.23</v>
      </c>
      <c r="M50" s="165">
        <f t="shared" ca="1" si="8"/>
        <v>169.44</v>
      </c>
      <c r="N50" s="165">
        <f>0</f>
        <v>0</v>
      </c>
      <c r="O50" s="171">
        <f t="shared" ca="1" si="9"/>
        <v>20.79</v>
      </c>
      <c r="P50" s="145">
        <v>7</v>
      </c>
      <c r="Q50" s="74">
        <v>46356</v>
      </c>
      <c r="R50" s="75">
        <v>2026</v>
      </c>
      <c r="S50" s="84">
        <v>218.28</v>
      </c>
      <c r="T50" s="84">
        <v>197.95</v>
      </c>
      <c r="U50" s="63"/>
      <c r="V50" s="84">
        <v>20.329999999999998</v>
      </c>
      <c r="W50" s="76" t="s">
        <v>1104</v>
      </c>
      <c r="X50" s="90">
        <v>7</v>
      </c>
      <c r="Y50" s="91">
        <v>46356</v>
      </c>
      <c r="Z50" s="92">
        <v>2026</v>
      </c>
      <c r="AA50" s="129">
        <v>190.2</v>
      </c>
      <c r="AB50" s="129">
        <v>169.41</v>
      </c>
      <c r="AC50" s="92"/>
      <c r="AD50" s="130">
        <v>20.79</v>
      </c>
      <c r="AE50" s="128" t="s">
        <v>1104</v>
      </c>
      <c r="AF50" s="61">
        <v>7</v>
      </c>
      <c r="AG50" s="62">
        <v>46356</v>
      </c>
      <c r="AH50" s="63">
        <v>2026</v>
      </c>
      <c r="AI50" s="63">
        <v>190.23</v>
      </c>
      <c r="AJ50" s="63">
        <v>169.44</v>
      </c>
      <c r="AK50" s="63"/>
      <c r="AL50" s="63">
        <v>20.79</v>
      </c>
      <c r="AM50" s="94" t="s">
        <v>1104</v>
      </c>
      <c r="AN50" s="45"/>
      <c r="AO50" s="45"/>
      <c r="AP50" s="45"/>
      <c r="AQ50" s="45"/>
      <c r="AR50" s="45"/>
    </row>
    <row r="51" spans="1:44" ht="60">
      <c r="A51" s="297"/>
      <c r="B51" s="189" t="s">
        <v>1083</v>
      </c>
      <c r="C51" s="190">
        <v>46387</v>
      </c>
      <c r="D51" s="191">
        <v>2026</v>
      </c>
      <c r="E51" s="192">
        <v>190.23</v>
      </c>
      <c r="F51" s="192">
        <v>169.91</v>
      </c>
      <c r="G51" s="192"/>
      <c r="H51" s="193">
        <v>20.32</v>
      </c>
      <c r="I51" s="170">
        <v>8</v>
      </c>
      <c r="J51" s="160">
        <f t="shared" ca="1" si="6"/>
        <v>46387</v>
      </c>
      <c r="K51" s="164">
        <f t="shared" ca="1" si="5"/>
        <v>2026</v>
      </c>
      <c r="L51" s="165">
        <f t="shared" ca="1" si="7"/>
        <v>190.23</v>
      </c>
      <c r="M51" s="165">
        <f t="shared" ca="1" si="8"/>
        <v>169.91</v>
      </c>
      <c r="N51" s="165">
        <f>0</f>
        <v>0</v>
      </c>
      <c r="O51" s="171">
        <f t="shared" ca="1" si="9"/>
        <v>20.32</v>
      </c>
      <c r="P51" s="145">
        <v>8</v>
      </c>
      <c r="Q51" s="74">
        <v>46387</v>
      </c>
      <c r="R51" s="75">
        <v>2026</v>
      </c>
      <c r="S51" s="84">
        <v>218.28</v>
      </c>
      <c r="T51" s="84">
        <v>198.5</v>
      </c>
      <c r="U51" s="63"/>
      <c r="V51" s="84">
        <v>19.78</v>
      </c>
      <c r="W51" s="76" t="s">
        <v>1104</v>
      </c>
      <c r="X51" s="90">
        <v>8</v>
      </c>
      <c r="Y51" s="91">
        <v>46387</v>
      </c>
      <c r="Z51" s="92">
        <v>2026</v>
      </c>
      <c r="AA51" s="129">
        <v>190.2</v>
      </c>
      <c r="AB51" s="129">
        <v>169.88</v>
      </c>
      <c r="AC51" s="92"/>
      <c r="AD51" s="130">
        <v>20.32</v>
      </c>
      <c r="AE51" s="128" t="s">
        <v>1104</v>
      </c>
      <c r="AF51" s="61">
        <v>8</v>
      </c>
      <c r="AG51" s="62">
        <v>46387</v>
      </c>
      <c r="AH51" s="63">
        <v>2026</v>
      </c>
      <c r="AI51" s="63">
        <v>190.23</v>
      </c>
      <c r="AJ51" s="63">
        <v>169.91</v>
      </c>
      <c r="AK51" s="63"/>
      <c r="AL51" s="63">
        <v>20.32</v>
      </c>
      <c r="AM51" s="94" t="s">
        <v>1104</v>
      </c>
      <c r="AN51" s="45"/>
      <c r="AO51" s="45"/>
      <c r="AP51" s="45"/>
      <c r="AQ51" s="45"/>
      <c r="AR51" s="45"/>
    </row>
    <row r="52" spans="1:44" ht="60">
      <c r="A52" s="297"/>
      <c r="B52" s="189" t="s">
        <v>1084</v>
      </c>
      <c r="C52" s="190">
        <v>46418</v>
      </c>
      <c r="D52" s="191">
        <v>2027</v>
      </c>
      <c r="E52" s="192">
        <v>190.23</v>
      </c>
      <c r="F52" s="192">
        <v>170.38</v>
      </c>
      <c r="G52" s="192"/>
      <c r="H52" s="193">
        <v>19.850000000000001</v>
      </c>
      <c r="I52" s="170">
        <v>9</v>
      </c>
      <c r="J52" s="160">
        <f t="shared" ca="1" si="6"/>
        <v>46418</v>
      </c>
      <c r="K52" s="164">
        <f t="shared" ca="1" si="5"/>
        <v>2027</v>
      </c>
      <c r="L52" s="165">
        <f t="shared" ca="1" si="7"/>
        <v>190.23</v>
      </c>
      <c r="M52" s="165">
        <f t="shared" ca="1" si="8"/>
        <v>170.38</v>
      </c>
      <c r="N52" s="165">
        <f>0</f>
        <v>0</v>
      </c>
      <c r="O52" s="171">
        <f t="shared" ca="1" si="9"/>
        <v>19.850000000000001</v>
      </c>
      <c r="P52" s="145">
        <v>9</v>
      </c>
      <c r="Q52" s="74">
        <v>46418</v>
      </c>
      <c r="R52" s="75">
        <v>2027</v>
      </c>
      <c r="S52" s="84">
        <v>218.28</v>
      </c>
      <c r="T52" s="84">
        <v>199.05</v>
      </c>
      <c r="U52" s="63"/>
      <c r="V52" s="84">
        <v>19.23</v>
      </c>
      <c r="W52" s="76" t="s">
        <v>1104</v>
      </c>
      <c r="X52" s="90">
        <v>9</v>
      </c>
      <c r="Y52" s="91">
        <v>46418</v>
      </c>
      <c r="Z52" s="92">
        <v>2027</v>
      </c>
      <c r="AA52" s="129">
        <v>190.2</v>
      </c>
      <c r="AB52" s="129">
        <v>170.35</v>
      </c>
      <c r="AC52" s="92"/>
      <c r="AD52" s="130">
        <v>19.850000000000001</v>
      </c>
      <c r="AE52" s="128" t="s">
        <v>1104</v>
      </c>
      <c r="AF52" s="61">
        <v>9</v>
      </c>
      <c r="AG52" s="62">
        <v>46418</v>
      </c>
      <c r="AH52" s="63">
        <v>2027</v>
      </c>
      <c r="AI52" s="63">
        <v>190.23</v>
      </c>
      <c r="AJ52" s="63">
        <v>170.38</v>
      </c>
      <c r="AK52" s="63"/>
      <c r="AL52" s="63">
        <v>19.850000000000001</v>
      </c>
      <c r="AM52" s="94" t="s">
        <v>1104</v>
      </c>
      <c r="AN52" s="45"/>
      <c r="AO52" s="45"/>
      <c r="AP52" s="45"/>
      <c r="AQ52" s="45"/>
      <c r="AR52" s="45"/>
    </row>
    <row r="53" spans="1:44" ht="60">
      <c r="A53" s="297"/>
      <c r="B53" s="189" t="s">
        <v>1085</v>
      </c>
      <c r="C53" s="190">
        <v>46446</v>
      </c>
      <c r="D53" s="191">
        <v>2027</v>
      </c>
      <c r="E53" s="192">
        <v>190.23</v>
      </c>
      <c r="F53" s="192">
        <v>170.85</v>
      </c>
      <c r="G53" s="192"/>
      <c r="H53" s="193">
        <v>19.38</v>
      </c>
      <c r="I53" s="170">
        <v>10</v>
      </c>
      <c r="J53" s="160">
        <f t="shared" ca="1" si="6"/>
        <v>46446</v>
      </c>
      <c r="K53" s="164">
        <f t="shared" ca="1" si="5"/>
        <v>2027</v>
      </c>
      <c r="L53" s="165">
        <f t="shared" ca="1" si="7"/>
        <v>190.23</v>
      </c>
      <c r="M53" s="165">
        <f t="shared" ca="1" si="8"/>
        <v>170.85</v>
      </c>
      <c r="N53" s="165">
        <f>0</f>
        <v>0</v>
      </c>
      <c r="O53" s="171">
        <f t="shared" ca="1" si="9"/>
        <v>19.38</v>
      </c>
      <c r="P53" s="145">
        <v>10</v>
      </c>
      <c r="Q53" s="74">
        <v>46446</v>
      </c>
      <c r="R53" s="75">
        <v>2027</v>
      </c>
      <c r="S53" s="84">
        <v>218.28</v>
      </c>
      <c r="T53" s="84">
        <v>199.6</v>
      </c>
      <c r="U53" s="63"/>
      <c r="V53" s="84">
        <v>18.68</v>
      </c>
      <c r="W53" s="76" t="s">
        <v>1104</v>
      </c>
      <c r="X53" s="90">
        <v>10</v>
      </c>
      <c r="Y53" s="91">
        <v>46446</v>
      </c>
      <c r="Z53" s="92">
        <v>2027</v>
      </c>
      <c r="AA53" s="129">
        <v>190.2</v>
      </c>
      <c r="AB53" s="129">
        <v>170.82</v>
      </c>
      <c r="AC53" s="92"/>
      <c r="AD53" s="130">
        <v>19.38</v>
      </c>
      <c r="AE53" s="128" t="s">
        <v>1104</v>
      </c>
      <c r="AF53" s="61">
        <v>10</v>
      </c>
      <c r="AG53" s="62">
        <v>46446</v>
      </c>
      <c r="AH53" s="63">
        <v>2027</v>
      </c>
      <c r="AI53" s="63">
        <v>190.23</v>
      </c>
      <c r="AJ53" s="63">
        <v>170.85</v>
      </c>
      <c r="AK53" s="63"/>
      <c r="AL53" s="63">
        <v>19.38</v>
      </c>
      <c r="AM53" s="94" t="s">
        <v>1104</v>
      </c>
      <c r="AN53" s="45"/>
      <c r="AO53" s="45"/>
      <c r="AP53" s="45"/>
      <c r="AQ53" s="45"/>
      <c r="AR53" s="45"/>
    </row>
    <row r="54" spans="1:44" ht="60">
      <c r="A54" s="297"/>
      <c r="B54" s="189" t="s">
        <v>1086</v>
      </c>
      <c r="C54" s="190">
        <v>46477</v>
      </c>
      <c r="D54" s="191">
        <v>2027</v>
      </c>
      <c r="E54" s="192">
        <v>190.23</v>
      </c>
      <c r="F54" s="192">
        <v>171.33</v>
      </c>
      <c r="G54" s="192"/>
      <c r="H54" s="193">
        <v>18.899999999999999</v>
      </c>
      <c r="I54" s="170">
        <v>11</v>
      </c>
      <c r="J54" s="160">
        <f t="shared" ca="1" si="6"/>
        <v>46477</v>
      </c>
      <c r="K54" s="164">
        <f t="shared" ca="1" si="5"/>
        <v>2027</v>
      </c>
      <c r="L54" s="165">
        <f t="shared" ca="1" si="7"/>
        <v>190.23</v>
      </c>
      <c r="M54" s="165">
        <f t="shared" ca="1" si="8"/>
        <v>171.33</v>
      </c>
      <c r="N54" s="165">
        <f>0</f>
        <v>0</v>
      </c>
      <c r="O54" s="171">
        <f t="shared" ca="1" si="9"/>
        <v>18.899999999999999</v>
      </c>
      <c r="P54" s="145">
        <v>11</v>
      </c>
      <c r="Q54" s="74">
        <v>46477</v>
      </c>
      <c r="R54" s="75">
        <v>2027</v>
      </c>
      <c r="S54" s="84">
        <v>218.28</v>
      </c>
      <c r="T54" s="84">
        <v>200.16</v>
      </c>
      <c r="U54" s="63"/>
      <c r="V54" s="84">
        <v>18.12</v>
      </c>
      <c r="W54" s="76" t="s">
        <v>1104</v>
      </c>
      <c r="X54" s="90">
        <v>11</v>
      </c>
      <c r="Y54" s="91">
        <v>46477</v>
      </c>
      <c r="Z54" s="92">
        <v>2027</v>
      </c>
      <c r="AA54" s="129">
        <v>190.2</v>
      </c>
      <c r="AB54" s="129">
        <v>171.29</v>
      </c>
      <c r="AC54" s="92"/>
      <c r="AD54" s="131">
        <v>18.91</v>
      </c>
      <c r="AE54" s="128" t="s">
        <v>1104</v>
      </c>
      <c r="AF54" s="61">
        <v>11</v>
      </c>
      <c r="AG54" s="62">
        <v>46477</v>
      </c>
      <c r="AH54" s="63">
        <v>2027</v>
      </c>
      <c r="AI54" s="63">
        <v>190.23</v>
      </c>
      <c r="AJ54" s="63">
        <v>171.33</v>
      </c>
      <c r="AK54" s="63"/>
      <c r="AL54" s="63">
        <v>18.899999999999999</v>
      </c>
      <c r="AM54" s="94" t="s">
        <v>1104</v>
      </c>
      <c r="AN54" s="45"/>
      <c r="AO54" s="45"/>
      <c r="AP54" s="45"/>
      <c r="AQ54" s="45"/>
      <c r="AR54" s="45"/>
    </row>
    <row r="55" spans="1:44" ht="60">
      <c r="A55" s="297"/>
      <c r="B55" s="189" t="s">
        <v>1087</v>
      </c>
      <c r="C55" s="190">
        <v>46507</v>
      </c>
      <c r="D55" s="191">
        <v>2027</v>
      </c>
      <c r="E55" s="192">
        <v>190.23</v>
      </c>
      <c r="F55" s="192">
        <v>171.8</v>
      </c>
      <c r="G55" s="192"/>
      <c r="H55" s="193">
        <v>18.43</v>
      </c>
      <c r="I55" s="170">
        <v>12</v>
      </c>
      <c r="J55" s="160">
        <f t="shared" ca="1" si="6"/>
        <v>46507</v>
      </c>
      <c r="K55" s="164">
        <f t="shared" ca="1" si="5"/>
        <v>2027</v>
      </c>
      <c r="L55" s="165">
        <f t="shared" ca="1" si="7"/>
        <v>190.23</v>
      </c>
      <c r="M55" s="165">
        <f t="shared" ca="1" si="8"/>
        <v>171.8</v>
      </c>
      <c r="N55" s="165">
        <f>0</f>
        <v>0</v>
      </c>
      <c r="O55" s="171">
        <f t="shared" ca="1" si="9"/>
        <v>18.43</v>
      </c>
      <c r="P55" s="145">
        <v>12</v>
      </c>
      <c r="Q55" s="74">
        <v>46507</v>
      </c>
      <c r="R55" s="75">
        <v>2027</v>
      </c>
      <c r="S55" s="84">
        <v>218.28</v>
      </c>
      <c r="T55" s="84">
        <v>200.71</v>
      </c>
      <c r="U55" s="63"/>
      <c r="V55" s="84">
        <v>17.57</v>
      </c>
      <c r="W55" s="76" t="s">
        <v>1104</v>
      </c>
      <c r="X55" s="90">
        <v>12</v>
      </c>
      <c r="Y55" s="91">
        <v>46507</v>
      </c>
      <c r="Z55" s="92">
        <v>2027</v>
      </c>
      <c r="AA55" s="129">
        <v>190.2</v>
      </c>
      <c r="AB55" s="129">
        <v>171.77</v>
      </c>
      <c r="AC55" s="92"/>
      <c r="AD55" s="130">
        <v>18.43</v>
      </c>
      <c r="AE55" s="128" t="s">
        <v>1104</v>
      </c>
      <c r="AF55" s="61">
        <v>12</v>
      </c>
      <c r="AG55" s="62">
        <v>46507</v>
      </c>
      <c r="AH55" s="63">
        <v>2027</v>
      </c>
      <c r="AI55" s="63">
        <v>190.23</v>
      </c>
      <c r="AJ55" s="63">
        <v>171.8</v>
      </c>
      <c r="AK55" s="63"/>
      <c r="AL55" s="63">
        <v>18.43</v>
      </c>
      <c r="AM55" s="94" t="s">
        <v>1104</v>
      </c>
      <c r="AN55" s="45"/>
      <c r="AO55" s="45"/>
      <c r="AP55" s="45"/>
      <c r="AQ55" s="45"/>
      <c r="AR55" s="45"/>
    </row>
    <row r="56" spans="1:44" ht="60">
      <c r="A56" s="297"/>
      <c r="B56" s="189" t="s">
        <v>1088</v>
      </c>
      <c r="C56" s="190">
        <v>46538</v>
      </c>
      <c r="D56" s="191">
        <v>2027</v>
      </c>
      <c r="E56" s="192">
        <v>190.23</v>
      </c>
      <c r="F56" s="192">
        <v>172.28</v>
      </c>
      <c r="G56" s="192"/>
      <c r="H56" s="193">
        <v>17.95</v>
      </c>
      <c r="I56" s="170">
        <v>13</v>
      </c>
      <c r="J56" s="160">
        <f t="shared" ca="1" si="6"/>
        <v>46538</v>
      </c>
      <c r="K56" s="164">
        <f t="shared" ca="1" si="5"/>
        <v>2027</v>
      </c>
      <c r="L56" s="165">
        <f t="shared" ca="1" si="7"/>
        <v>190.23</v>
      </c>
      <c r="M56" s="165">
        <f t="shared" ca="1" si="8"/>
        <v>172.28</v>
      </c>
      <c r="N56" s="165">
        <f>0</f>
        <v>0</v>
      </c>
      <c r="O56" s="171">
        <f t="shared" ca="1" si="9"/>
        <v>17.95</v>
      </c>
      <c r="P56" s="145">
        <v>13</v>
      </c>
      <c r="Q56" s="74">
        <v>46538</v>
      </c>
      <c r="R56" s="75">
        <v>2027</v>
      </c>
      <c r="S56" s="84">
        <v>218.28</v>
      </c>
      <c r="T56" s="84">
        <v>201.27</v>
      </c>
      <c r="U56" s="63"/>
      <c r="V56" s="84">
        <v>17.010000000000002</v>
      </c>
      <c r="W56" s="76" t="s">
        <v>1104</v>
      </c>
      <c r="X56" s="90">
        <v>13</v>
      </c>
      <c r="Y56" s="91">
        <v>46538</v>
      </c>
      <c r="Z56" s="92">
        <v>2027</v>
      </c>
      <c r="AA56" s="129">
        <v>190.2</v>
      </c>
      <c r="AB56" s="129">
        <v>172.25</v>
      </c>
      <c r="AC56" s="92"/>
      <c r="AD56" s="130">
        <v>17.95</v>
      </c>
      <c r="AE56" s="128" t="s">
        <v>1104</v>
      </c>
      <c r="AF56" s="61">
        <v>13</v>
      </c>
      <c r="AG56" s="62">
        <v>46538</v>
      </c>
      <c r="AH56" s="63">
        <v>2027</v>
      </c>
      <c r="AI56" s="63">
        <v>190.23</v>
      </c>
      <c r="AJ56" s="63">
        <v>172.28</v>
      </c>
      <c r="AK56" s="63"/>
      <c r="AL56" s="63">
        <v>17.95</v>
      </c>
      <c r="AM56" s="94" t="s">
        <v>1104</v>
      </c>
      <c r="AN56" s="45"/>
      <c r="AO56" s="45"/>
      <c r="AP56" s="45"/>
      <c r="AQ56" s="45"/>
      <c r="AR56" s="45"/>
    </row>
    <row r="57" spans="1:44" ht="60">
      <c r="A57" s="297"/>
      <c r="B57" s="189" t="s">
        <v>1089</v>
      </c>
      <c r="C57" s="190">
        <v>46568</v>
      </c>
      <c r="D57" s="191">
        <v>2027</v>
      </c>
      <c r="E57" s="192">
        <v>190.23</v>
      </c>
      <c r="F57" s="192">
        <v>172.76</v>
      </c>
      <c r="G57" s="192"/>
      <c r="H57" s="193">
        <v>17.47</v>
      </c>
      <c r="I57" s="170">
        <v>14</v>
      </c>
      <c r="J57" s="160">
        <f t="shared" ca="1" si="6"/>
        <v>46568</v>
      </c>
      <c r="K57" s="164">
        <f t="shared" ca="1" si="5"/>
        <v>2027</v>
      </c>
      <c r="L57" s="165">
        <f t="shared" ca="1" si="7"/>
        <v>190.23</v>
      </c>
      <c r="M57" s="165">
        <f t="shared" ca="1" si="8"/>
        <v>172.76</v>
      </c>
      <c r="N57" s="165">
        <f>0</f>
        <v>0</v>
      </c>
      <c r="O57" s="171">
        <f t="shared" ca="1" si="9"/>
        <v>17.47</v>
      </c>
      <c r="P57" s="145">
        <v>14</v>
      </c>
      <c r="Q57" s="74">
        <v>46568</v>
      </c>
      <c r="R57" s="75">
        <v>2027</v>
      </c>
      <c r="S57" s="84">
        <v>218.28</v>
      </c>
      <c r="T57" s="84">
        <v>201.83</v>
      </c>
      <c r="U57" s="63"/>
      <c r="V57" s="84">
        <v>16.45</v>
      </c>
      <c r="W57" s="76" t="s">
        <v>1104</v>
      </c>
      <c r="X57" s="90">
        <v>14</v>
      </c>
      <c r="Y57" s="91">
        <v>46568</v>
      </c>
      <c r="Z57" s="92">
        <v>2027</v>
      </c>
      <c r="AA57" s="129">
        <v>190.2</v>
      </c>
      <c r="AB57" s="129">
        <v>172.72</v>
      </c>
      <c r="AC57" s="92"/>
      <c r="AD57" s="131">
        <v>17.48</v>
      </c>
      <c r="AE57" s="128" t="s">
        <v>1104</v>
      </c>
      <c r="AF57" s="61">
        <v>14</v>
      </c>
      <c r="AG57" s="62">
        <v>46568</v>
      </c>
      <c r="AH57" s="63">
        <v>2027</v>
      </c>
      <c r="AI57" s="63">
        <v>190.23</v>
      </c>
      <c r="AJ57" s="63">
        <v>172.76</v>
      </c>
      <c r="AK57" s="63"/>
      <c r="AL57" s="63">
        <v>17.47</v>
      </c>
      <c r="AM57" s="94" t="s">
        <v>1104</v>
      </c>
      <c r="AN57" s="45"/>
      <c r="AO57" s="45"/>
      <c r="AP57" s="45"/>
      <c r="AQ57" s="45"/>
      <c r="AR57" s="45"/>
    </row>
    <row r="58" spans="1:44" ht="60">
      <c r="A58" s="297"/>
      <c r="B58" s="189" t="s">
        <v>1090</v>
      </c>
      <c r="C58" s="190">
        <v>46599</v>
      </c>
      <c r="D58" s="191">
        <v>2027</v>
      </c>
      <c r="E58" s="192">
        <v>190.23</v>
      </c>
      <c r="F58" s="192">
        <v>173.23</v>
      </c>
      <c r="G58" s="192"/>
      <c r="H58" s="193">
        <v>17</v>
      </c>
      <c r="I58" s="170">
        <v>15</v>
      </c>
      <c r="J58" s="160">
        <f t="shared" ca="1" si="6"/>
        <v>46599</v>
      </c>
      <c r="K58" s="164">
        <f t="shared" ca="1" si="5"/>
        <v>2027</v>
      </c>
      <c r="L58" s="165">
        <f t="shared" ca="1" si="7"/>
        <v>190.23</v>
      </c>
      <c r="M58" s="165">
        <f t="shared" ca="1" si="8"/>
        <v>173.23</v>
      </c>
      <c r="N58" s="165">
        <f>0</f>
        <v>0</v>
      </c>
      <c r="O58" s="171">
        <f t="shared" ca="1" si="9"/>
        <v>17</v>
      </c>
      <c r="P58" s="145">
        <v>15</v>
      </c>
      <c r="Q58" s="74">
        <v>46599</v>
      </c>
      <c r="R58" s="75">
        <v>2027</v>
      </c>
      <c r="S58" s="84">
        <v>218.28</v>
      </c>
      <c r="T58" s="84">
        <v>202.39</v>
      </c>
      <c r="U58" s="63"/>
      <c r="V58" s="84">
        <v>15.89</v>
      </c>
      <c r="W58" s="76" t="s">
        <v>1104</v>
      </c>
      <c r="X58" s="90">
        <v>15</v>
      </c>
      <c r="Y58" s="91">
        <v>46599</v>
      </c>
      <c r="Z58" s="92">
        <v>2027</v>
      </c>
      <c r="AA58" s="129">
        <v>190.2</v>
      </c>
      <c r="AB58" s="129">
        <v>173.2</v>
      </c>
      <c r="AC58" s="92"/>
      <c r="AD58" s="130">
        <v>17</v>
      </c>
      <c r="AE58" s="128" t="s">
        <v>1104</v>
      </c>
      <c r="AF58" s="61">
        <v>15</v>
      </c>
      <c r="AG58" s="62">
        <v>46599</v>
      </c>
      <c r="AH58" s="63">
        <v>2027</v>
      </c>
      <c r="AI58" s="63">
        <v>190.23</v>
      </c>
      <c r="AJ58" s="63">
        <v>173.23</v>
      </c>
      <c r="AK58" s="63"/>
      <c r="AL58" s="63">
        <v>17</v>
      </c>
      <c r="AM58" s="94" t="s">
        <v>1104</v>
      </c>
      <c r="AN58" s="45"/>
      <c r="AO58" s="45"/>
      <c r="AP58" s="45"/>
      <c r="AQ58" s="45"/>
      <c r="AR58" s="45"/>
    </row>
    <row r="59" spans="1:44" ht="60">
      <c r="A59" s="297"/>
      <c r="B59" s="189" t="s">
        <v>1091</v>
      </c>
      <c r="C59" s="190">
        <v>46630</v>
      </c>
      <c r="D59" s="191">
        <v>2027</v>
      </c>
      <c r="E59" s="192">
        <v>190.23</v>
      </c>
      <c r="F59" s="192">
        <v>173.72</v>
      </c>
      <c r="G59" s="192"/>
      <c r="H59" s="193">
        <v>16.510000000000002</v>
      </c>
      <c r="I59" s="170">
        <v>16</v>
      </c>
      <c r="J59" s="160">
        <f t="shared" ca="1" si="6"/>
        <v>46630</v>
      </c>
      <c r="K59" s="164">
        <f t="shared" ca="1" si="5"/>
        <v>2027</v>
      </c>
      <c r="L59" s="165">
        <f t="shared" ca="1" si="7"/>
        <v>190.23</v>
      </c>
      <c r="M59" s="165">
        <f t="shared" ca="1" si="8"/>
        <v>173.72</v>
      </c>
      <c r="N59" s="165">
        <f>0</f>
        <v>0</v>
      </c>
      <c r="O59" s="171">
        <f t="shared" ca="1" si="9"/>
        <v>16.510000000000002</v>
      </c>
      <c r="P59" s="145">
        <v>16</v>
      </c>
      <c r="Q59" s="74">
        <v>46630</v>
      </c>
      <c r="R59" s="75">
        <v>2027</v>
      </c>
      <c r="S59" s="84">
        <v>218.28</v>
      </c>
      <c r="T59" s="84">
        <v>202.95</v>
      </c>
      <c r="U59" s="63"/>
      <c r="V59" s="84">
        <v>15.33</v>
      </c>
      <c r="W59" s="76" t="s">
        <v>1104</v>
      </c>
      <c r="X59" s="90">
        <v>16</v>
      </c>
      <c r="Y59" s="91">
        <v>46630</v>
      </c>
      <c r="Z59" s="92">
        <v>2027</v>
      </c>
      <c r="AA59" s="129">
        <v>190.2</v>
      </c>
      <c r="AB59" s="129">
        <v>173.68</v>
      </c>
      <c r="AC59" s="92"/>
      <c r="AD59" s="131">
        <v>16.52</v>
      </c>
      <c r="AE59" s="128" t="s">
        <v>1104</v>
      </c>
      <c r="AF59" s="61">
        <v>16</v>
      </c>
      <c r="AG59" s="62">
        <v>46630</v>
      </c>
      <c r="AH59" s="63">
        <v>2027</v>
      </c>
      <c r="AI59" s="63">
        <v>190.23</v>
      </c>
      <c r="AJ59" s="63">
        <v>173.72</v>
      </c>
      <c r="AK59" s="63"/>
      <c r="AL59" s="63">
        <v>16.510000000000002</v>
      </c>
      <c r="AM59" s="94" t="s">
        <v>1104</v>
      </c>
      <c r="AN59" s="45"/>
      <c r="AO59" s="45"/>
      <c r="AP59" s="45"/>
      <c r="AQ59" s="45"/>
      <c r="AR59" s="45"/>
    </row>
    <row r="60" spans="1:44" ht="60">
      <c r="A60" s="297"/>
      <c r="B60" s="189" t="s">
        <v>1092</v>
      </c>
      <c r="C60" s="190">
        <v>46660</v>
      </c>
      <c r="D60" s="191">
        <v>2027</v>
      </c>
      <c r="E60" s="192">
        <v>190.23</v>
      </c>
      <c r="F60" s="192">
        <v>174.2</v>
      </c>
      <c r="G60" s="192"/>
      <c r="H60" s="193">
        <v>16.03</v>
      </c>
      <c r="I60" s="170">
        <v>17</v>
      </c>
      <c r="J60" s="160">
        <f t="shared" ca="1" si="6"/>
        <v>46660</v>
      </c>
      <c r="K60" s="164">
        <f t="shared" ca="1" si="5"/>
        <v>2027</v>
      </c>
      <c r="L60" s="165">
        <f t="shared" ca="1" si="7"/>
        <v>190.23</v>
      </c>
      <c r="M60" s="165">
        <f t="shared" ca="1" si="8"/>
        <v>174.2</v>
      </c>
      <c r="N60" s="165">
        <f>0</f>
        <v>0</v>
      </c>
      <c r="O60" s="171">
        <f t="shared" ca="1" si="9"/>
        <v>16.03</v>
      </c>
      <c r="P60" s="145">
        <v>17</v>
      </c>
      <c r="Q60" s="74">
        <v>46660</v>
      </c>
      <c r="R60" s="75">
        <v>2027</v>
      </c>
      <c r="S60" s="84">
        <v>218.28</v>
      </c>
      <c r="T60" s="84">
        <v>203.51</v>
      </c>
      <c r="U60" s="63"/>
      <c r="V60" s="84">
        <v>14.77</v>
      </c>
      <c r="W60" s="76" t="s">
        <v>1104</v>
      </c>
      <c r="X60" s="90">
        <v>17</v>
      </c>
      <c r="Y60" s="91">
        <v>46660</v>
      </c>
      <c r="Z60" s="92">
        <v>2027</v>
      </c>
      <c r="AA60" s="129">
        <v>190.2</v>
      </c>
      <c r="AB60" s="129">
        <v>174.17</v>
      </c>
      <c r="AC60" s="92"/>
      <c r="AD60" s="130">
        <v>16.03</v>
      </c>
      <c r="AE60" s="128" t="s">
        <v>1104</v>
      </c>
      <c r="AF60" s="61">
        <v>17</v>
      </c>
      <c r="AG60" s="62">
        <v>46660</v>
      </c>
      <c r="AH60" s="63">
        <v>2027</v>
      </c>
      <c r="AI60" s="63">
        <v>190.23</v>
      </c>
      <c r="AJ60" s="63">
        <v>174.2</v>
      </c>
      <c r="AK60" s="63"/>
      <c r="AL60" s="63">
        <v>16.03</v>
      </c>
      <c r="AM60" s="94" t="s">
        <v>1104</v>
      </c>
      <c r="AN60" s="45"/>
      <c r="AO60" s="45"/>
      <c r="AP60" s="45"/>
      <c r="AQ60" s="45"/>
      <c r="AR60" s="45"/>
    </row>
    <row r="61" spans="1:44" ht="60">
      <c r="A61" s="297"/>
      <c r="B61" s="189" t="s">
        <v>1093</v>
      </c>
      <c r="C61" s="190">
        <v>46691</v>
      </c>
      <c r="D61" s="191">
        <v>2027</v>
      </c>
      <c r="E61" s="192">
        <v>190.23</v>
      </c>
      <c r="F61" s="192">
        <v>174.68</v>
      </c>
      <c r="G61" s="192"/>
      <c r="H61" s="193">
        <v>15.55</v>
      </c>
      <c r="I61" s="170">
        <v>18</v>
      </c>
      <c r="J61" s="160">
        <f t="shared" ca="1" si="6"/>
        <v>46691</v>
      </c>
      <c r="K61" s="164">
        <f t="shared" ca="1" si="5"/>
        <v>2027</v>
      </c>
      <c r="L61" s="165">
        <f t="shared" ca="1" si="7"/>
        <v>190.23</v>
      </c>
      <c r="M61" s="165">
        <f t="shared" ca="1" si="8"/>
        <v>174.68</v>
      </c>
      <c r="N61" s="165">
        <f>0</f>
        <v>0</v>
      </c>
      <c r="O61" s="171">
        <f t="shared" ca="1" si="9"/>
        <v>15.55</v>
      </c>
      <c r="P61" s="145">
        <v>18</v>
      </c>
      <c r="Q61" s="74">
        <v>46691</v>
      </c>
      <c r="R61" s="75">
        <v>2027</v>
      </c>
      <c r="S61" s="84">
        <v>218.28</v>
      </c>
      <c r="T61" s="84">
        <v>204.08</v>
      </c>
      <c r="U61" s="63"/>
      <c r="V61" s="84">
        <v>14.2</v>
      </c>
      <c r="W61" s="76" t="s">
        <v>1104</v>
      </c>
      <c r="X61" s="90">
        <v>18</v>
      </c>
      <c r="Y61" s="91">
        <v>46691</v>
      </c>
      <c r="Z61" s="92">
        <v>2027</v>
      </c>
      <c r="AA61" s="129">
        <v>190.2</v>
      </c>
      <c r="AB61" s="129">
        <v>174.65</v>
      </c>
      <c r="AC61" s="92"/>
      <c r="AD61" s="130">
        <v>15.55</v>
      </c>
      <c r="AE61" s="128" t="s">
        <v>1104</v>
      </c>
      <c r="AF61" s="61">
        <v>18</v>
      </c>
      <c r="AG61" s="62">
        <v>46691</v>
      </c>
      <c r="AH61" s="63">
        <v>2027</v>
      </c>
      <c r="AI61" s="63">
        <v>190.23</v>
      </c>
      <c r="AJ61" s="63">
        <v>174.68</v>
      </c>
      <c r="AK61" s="63"/>
      <c r="AL61" s="63">
        <v>15.55</v>
      </c>
      <c r="AM61" s="94" t="s">
        <v>1104</v>
      </c>
      <c r="AN61" s="45"/>
      <c r="AO61" s="45"/>
      <c r="AP61" s="45"/>
      <c r="AQ61" s="45"/>
      <c r="AR61" s="45"/>
    </row>
    <row r="62" spans="1:44" ht="60">
      <c r="A62" s="297"/>
      <c r="B62" s="189" t="s">
        <v>1094</v>
      </c>
      <c r="C62" s="190">
        <v>46721</v>
      </c>
      <c r="D62" s="191">
        <v>2027</v>
      </c>
      <c r="E62" s="192">
        <v>190.23</v>
      </c>
      <c r="F62" s="192">
        <v>175.17</v>
      </c>
      <c r="G62" s="192"/>
      <c r="H62" s="193">
        <v>15.06</v>
      </c>
      <c r="I62" s="170">
        <v>19</v>
      </c>
      <c r="J62" s="160">
        <f t="shared" ca="1" si="6"/>
        <v>46721</v>
      </c>
      <c r="K62" s="164">
        <f t="shared" ca="1" si="5"/>
        <v>2027</v>
      </c>
      <c r="L62" s="165">
        <f t="shared" ca="1" si="7"/>
        <v>190.23</v>
      </c>
      <c r="M62" s="165">
        <f t="shared" ca="1" si="8"/>
        <v>175.17</v>
      </c>
      <c r="N62" s="165">
        <f>0</f>
        <v>0</v>
      </c>
      <c r="O62" s="171">
        <f t="shared" ca="1" si="9"/>
        <v>15.06</v>
      </c>
      <c r="P62" s="145">
        <v>19</v>
      </c>
      <c r="Q62" s="74">
        <v>46721</v>
      </c>
      <c r="R62" s="75">
        <v>2027</v>
      </c>
      <c r="S62" s="84">
        <v>218.28</v>
      </c>
      <c r="T62" s="84">
        <v>204.64</v>
      </c>
      <c r="U62" s="63"/>
      <c r="V62" s="84">
        <v>13.64</v>
      </c>
      <c r="W62" s="76" t="s">
        <v>1104</v>
      </c>
      <c r="X62" s="90">
        <v>19</v>
      </c>
      <c r="Y62" s="91">
        <v>46721</v>
      </c>
      <c r="Z62" s="92">
        <v>2027</v>
      </c>
      <c r="AA62" s="129">
        <v>190.2</v>
      </c>
      <c r="AB62" s="129">
        <v>175.13</v>
      </c>
      <c r="AC62" s="92"/>
      <c r="AD62" s="131">
        <v>15.07</v>
      </c>
      <c r="AE62" s="128" t="s">
        <v>1104</v>
      </c>
      <c r="AF62" s="61">
        <v>19</v>
      </c>
      <c r="AG62" s="62">
        <v>46721</v>
      </c>
      <c r="AH62" s="63">
        <v>2027</v>
      </c>
      <c r="AI62" s="63">
        <v>190.23</v>
      </c>
      <c r="AJ62" s="63">
        <v>175.17</v>
      </c>
      <c r="AK62" s="63"/>
      <c r="AL62" s="63">
        <v>15.06</v>
      </c>
      <c r="AM62" s="94" t="s">
        <v>1104</v>
      </c>
      <c r="AN62" s="45"/>
      <c r="AO62" s="45"/>
      <c r="AP62" s="45"/>
      <c r="AQ62" s="45"/>
      <c r="AR62" s="45"/>
    </row>
    <row r="63" spans="1:44" ht="60">
      <c r="A63" s="297"/>
      <c r="B63" s="189" t="s">
        <v>1095</v>
      </c>
      <c r="C63" s="190">
        <v>46752</v>
      </c>
      <c r="D63" s="191">
        <v>2027</v>
      </c>
      <c r="E63" s="192">
        <v>190.23</v>
      </c>
      <c r="F63" s="192">
        <v>175.65</v>
      </c>
      <c r="G63" s="192"/>
      <c r="H63" s="193">
        <v>14.58</v>
      </c>
      <c r="I63" s="170">
        <v>20</v>
      </c>
      <c r="J63" s="160">
        <f t="shared" ca="1" si="6"/>
        <v>46752</v>
      </c>
      <c r="K63" s="164">
        <f t="shared" ca="1" si="5"/>
        <v>2027</v>
      </c>
      <c r="L63" s="165">
        <f t="shared" ca="1" si="7"/>
        <v>190.23</v>
      </c>
      <c r="M63" s="165">
        <f t="shared" ca="1" si="8"/>
        <v>175.65</v>
      </c>
      <c r="N63" s="165">
        <f>0</f>
        <v>0</v>
      </c>
      <c r="O63" s="171">
        <f t="shared" ca="1" si="9"/>
        <v>14.58</v>
      </c>
      <c r="P63" s="145">
        <v>20</v>
      </c>
      <c r="Q63" s="74">
        <v>46752</v>
      </c>
      <c r="R63" s="75">
        <v>2027</v>
      </c>
      <c r="S63" s="84">
        <v>218.28</v>
      </c>
      <c r="T63" s="84">
        <v>205.21</v>
      </c>
      <c r="U63" s="63"/>
      <c r="V63" s="84">
        <v>13.07</v>
      </c>
      <c r="W63" s="76" t="s">
        <v>1104</v>
      </c>
      <c r="X63" s="90">
        <v>20</v>
      </c>
      <c r="Y63" s="91">
        <v>46752</v>
      </c>
      <c r="Z63" s="92">
        <v>2027</v>
      </c>
      <c r="AA63" s="129">
        <v>190.2</v>
      </c>
      <c r="AB63" s="129">
        <v>175.62</v>
      </c>
      <c r="AC63" s="92"/>
      <c r="AD63" s="130">
        <v>14.58</v>
      </c>
      <c r="AE63" s="128" t="s">
        <v>1104</v>
      </c>
      <c r="AF63" s="61">
        <v>20</v>
      </c>
      <c r="AG63" s="62">
        <v>46752</v>
      </c>
      <c r="AH63" s="63">
        <v>2027</v>
      </c>
      <c r="AI63" s="63">
        <v>190.23</v>
      </c>
      <c r="AJ63" s="63">
        <v>175.65</v>
      </c>
      <c r="AK63" s="63"/>
      <c r="AL63" s="63">
        <v>14.58</v>
      </c>
      <c r="AM63" s="94" t="s">
        <v>1104</v>
      </c>
      <c r="AN63" s="45"/>
      <c r="AO63" s="45"/>
      <c r="AP63" s="45"/>
      <c r="AQ63" s="45"/>
      <c r="AR63" s="45"/>
    </row>
    <row r="64" spans="1:44" ht="60">
      <c r="A64" s="297"/>
      <c r="B64" s="189" t="s">
        <v>1096</v>
      </c>
      <c r="C64" s="190">
        <v>46783</v>
      </c>
      <c r="D64" s="191">
        <v>2028</v>
      </c>
      <c r="E64" s="192">
        <v>190.23</v>
      </c>
      <c r="F64" s="192">
        <v>176.14</v>
      </c>
      <c r="G64" s="192"/>
      <c r="H64" s="193">
        <v>14.09</v>
      </c>
      <c r="I64" s="170">
        <v>21</v>
      </c>
      <c r="J64" s="160">
        <f t="shared" ca="1" si="6"/>
        <v>46783</v>
      </c>
      <c r="K64" s="164">
        <f t="shared" ca="1" si="5"/>
        <v>2028</v>
      </c>
      <c r="L64" s="165">
        <f t="shared" ca="1" si="7"/>
        <v>190.23</v>
      </c>
      <c r="M64" s="165">
        <f t="shared" ca="1" si="8"/>
        <v>176.14</v>
      </c>
      <c r="N64" s="165">
        <f>0</f>
        <v>0</v>
      </c>
      <c r="O64" s="171">
        <f t="shared" ca="1" si="9"/>
        <v>14.09</v>
      </c>
      <c r="P64" s="145">
        <v>21</v>
      </c>
      <c r="Q64" s="74">
        <v>46783</v>
      </c>
      <c r="R64" s="75">
        <v>2028</v>
      </c>
      <c r="S64" s="84">
        <v>218.28</v>
      </c>
      <c r="T64" s="84">
        <v>205.78</v>
      </c>
      <c r="U64" s="63"/>
      <c r="V64" s="84">
        <v>12.5</v>
      </c>
      <c r="W64" s="76" t="s">
        <v>1104</v>
      </c>
      <c r="X64" s="90">
        <v>21</v>
      </c>
      <c r="Y64" s="91">
        <v>46783</v>
      </c>
      <c r="Z64" s="92">
        <v>2028</v>
      </c>
      <c r="AA64" s="129">
        <v>190.2</v>
      </c>
      <c r="AB64" s="129">
        <v>176.11</v>
      </c>
      <c r="AC64" s="92"/>
      <c r="AD64" s="130">
        <v>14.09</v>
      </c>
      <c r="AE64" s="128" t="s">
        <v>1104</v>
      </c>
      <c r="AF64" s="61">
        <v>21</v>
      </c>
      <c r="AG64" s="62">
        <v>46783</v>
      </c>
      <c r="AH64" s="63">
        <v>2028</v>
      </c>
      <c r="AI64" s="63">
        <v>190.23</v>
      </c>
      <c r="AJ64" s="63">
        <v>176.14</v>
      </c>
      <c r="AK64" s="63"/>
      <c r="AL64" s="63">
        <v>14.09</v>
      </c>
      <c r="AM64" s="94" t="s">
        <v>1104</v>
      </c>
      <c r="AN64" s="45"/>
      <c r="AO64" s="45"/>
      <c r="AP64" s="45"/>
      <c r="AQ64" s="45"/>
      <c r="AR64" s="45"/>
    </row>
    <row r="65" spans="1:44" ht="60">
      <c r="A65" s="297"/>
      <c r="B65" s="189" t="s">
        <v>1097</v>
      </c>
      <c r="C65" s="190">
        <v>46812</v>
      </c>
      <c r="D65" s="191">
        <v>2028</v>
      </c>
      <c r="E65" s="192">
        <v>190.23</v>
      </c>
      <c r="F65" s="192">
        <v>176.63</v>
      </c>
      <c r="G65" s="192"/>
      <c r="H65" s="193">
        <v>13.6</v>
      </c>
      <c r="I65" s="170">
        <v>22</v>
      </c>
      <c r="J65" s="160">
        <f t="shared" ca="1" si="6"/>
        <v>46812</v>
      </c>
      <c r="K65" s="164">
        <f t="shared" ca="1" si="5"/>
        <v>2028</v>
      </c>
      <c r="L65" s="165">
        <f t="shared" ca="1" si="7"/>
        <v>190.23</v>
      </c>
      <c r="M65" s="165">
        <f t="shared" ca="1" si="8"/>
        <v>176.63</v>
      </c>
      <c r="N65" s="165">
        <f>0</f>
        <v>0</v>
      </c>
      <c r="O65" s="171">
        <f t="shared" ca="1" si="9"/>
        <v>13.6</v>
      </c>
      <c r="P65" s="145">
        <v>22</v>
      </c>
      <c r="Q65" s="74">
        <v>46812</v>
      </c>
      <c r="R65" s="75">
        <v>2028</v>
      </c>
      <c r="S65" s="84">
        <v>218.28</v>
      </c>
      <c r="T65" s="84">
        <v>206.35</v>
      </c>
      <c r="U65" s="63"/>
      <c r="V65" s="84">
        <v>11.93</v>
      </c>
      <c r="W65" s="76" t="s">
        <v>1104</v>
      </c>
      <c r="X65" s="90">
        <v>22</v>
      </c>
      <c r="Y65" s="91">
        <v>46812</v>
      </c>
      <c r="Z65" s="92">
        <v>2028</v>
      </c>
      <c r="AA65" s="129">
        <v>190.2</v>
      </c>
      <c r="AB65" s="129">
        <v>176.6</v>
      </c>
      <c r="AC65" s="92"/>
      <c r="AD65" s="130">
        <v>13.6</v>
      </c>
      <c r="AE65" s="128" t="s">
        <v>1104</v>
      </c>
      <c r="AF65" s="61">
        <v>22</v>
      </c>
      <c r="AG65" s="62">
        <v>46812</v>
      </c>
      <c r="AH65" s="63">
        <v>2028</v>
      </c>
      <c r="AI65" s="63">
        <v>190.23</v>
      </c>
      <c r="AJ65" s="63">
        <v>176.63</v>
      </c>
      <c r="AK65" s="63"/>
      <c r="AL65" s="63">
        <v>13.6</v>
      </c>
      <c r="AM65" s="94" t="s">
        <v>1104</v>
      </c>
      <c r="AN65" s="45"/>
      <c r="AO65" s="45"/>
      <c r="AP65" s="45"/>
      <c r="AQ65" s="45"/>
      <c r="AR65" s="45"/>
    </row>
    <row r="66" spans="1:44" ht="60">
      <c r="A66" s="297"/>
      <c r="B66" s="189" t="s">
        <v>1098</v>
      </c>
      <c r="C66" s="190">
        <v>46843</v>
      </c>
      <c r="D66" s="191">
        <v>2028</v>
      </c>
      <c r="E66" s="192">
        <v>190.23</v>
      </c>
      <c r="F66" s="192">
        <v>177.12</v>
      </c>
      <c r="G66" s="192"/>
      <c r="H66" s="193">
        <v>13.11</v>
      </c>
      <c r="I66" s="170">
        <v>23</v>
      </c>
      <c r="J66" s="160">
        <f t="shared" ca="1" si="6"/>
        <v>46843</v>
      </c>
      <c r="K66" s="164">
        <f t="shared" ca="1" si="5"/>
        <v>2028</v>
      </c>
      <c r="L66" s="165">
        <f t="shared" ca="1" si="7"/>
        <v>190.23</v>
      </c>
      <c r="M66" s="165">
        <f t="shared" ca="1" si="8"/>
        <v>177.12</v>
      </c>
      <c r="N66" s="165">
        <f>0</f>
        <v>0</v>
      </c>
      <c r="O66" s="171">
        <f t="shared" ca="1" si="9"/>
        <v>13.11</v>
      </c>
      <c r="P66" s="145">
        <v>23</v>
      </c>
      <c r="Q66" s="74">
        <v>46843</v>
      </c>
      <c r="R66" s="75">
        <v>2028</v>
      </c>
      <c r="S66" s="84">
        <v>218.28</v>
      </c>
      <c r="T66" s="84">
        <v>206.92</v>
      </c>
      <c r="U66" s="63"/>
      <c r="V66" s="84">
        <v>11.36</v>
      </c>
      <c r="W66" s="76" t="s">
        <v>1104</v>
      </c>
      <c r="X66" s="90">
        <v>23</v>
      </c>
      <c r="Y66" s="91">
        <v>46843</v>
      </c>
      <c r="Z66" s="92">
        <v>2028</v>
      </c>
      <c r="AA66" s="129">
        <v>190.2</v>
      </c>
      <c r="AB66" s="129">
        <v>177.09</v>
      </c>
      <c r="AC66" s="92"/>
      <c r="AD66" s="130">
        <v>13.11</v>
      </c>
      <c r="AE66" s="128" t="s">
        <v>1104</v>
      </c>
      <c r="AF66" s="61">
        <v>23</v>
      </c>
      <c r="AG66" s="62">
        <v>46843</v>
      </c>
      <c r="AH66" s="63">
        <v>2028</v>
      </c>
      <c r="AI66" s="63">
        <v>190.23</v>
      </c>
      <c r="AJ66" s="63">
        <v>177.12</v>
      </c>
      <c r="AK66" s="63"/>
      <c r="AL66" s="63">
        <v>13.11</v>
      </c>
      <c r="AM66" s="94" t="s">
        <v>1104</v>
      </c>
      <c r="AN66" s="45"/>
      <c r="AO66" s="45"/>
      <c r="AP66" s="45"/>
      <c r="AQ66" s="45"/>
      <c r="AR66" s="45"/>
    </row>
    <row r="67" spans="1:44" ht="60">
      <c r="A67" s="297"/>
      <c r="B67" s="189" t="s">
        <v>1099</v>
      </c>
      <c r="C67" s="190">
        <v>46873</v>
      </c>
      <c r="D67" s="191">
        <v>2028</v>
      </c>
      <c r="E67" s="192">
        <v>190.23</v>
      </c>
      <c r="F67" s="192">
        <v>177.61</v>
      </c>
      <c r="G67" s="192"/>
      <c r="H67" s="193">
        <v>12.62</v>
      </c>
      <c r="I67" s="170">
        <v>24</v>
      </c>
      <c r="J67" s="160">
        <f t="shared" ca="1" si="6"/>
        <v>46873</v>
      </c>
      <c r="K67" s="164">
        <f t="shared" ca="1" si="5"/>
        <v>2028</v>
      </c>
      <c r="L67" s="165">
        <f t="shared" ca="1" si="7"/>
        <v>190.23</v>
      </c>
      <c r="M67" s="165">
        <f t="shared" ca="1" si="8"/>
        <v>177.61</v>
      </c>
      <c r="N67" s="165">
        <f>0</f>
        <v>0</v>
      </c>
      <c r="O67" s="171">
        <f t="shared" ca="1" si="9"/>
        <v>12.62</v>
      </c>
      <c r="P67" s="145">
        <v>24</v>
      </c>
      <c r="Q67" s="74">
        <v>46873</v>
      </c>
      <c r="R67" s="75">
        <v>2028</v>
      </c>
      <c r="S67" s="84">
        <v>218.28</v>
      </c>
      <c r="T67" s="84">
        <v>207.5</v>
      </c>
      <c r="U67" s="63"/>
      <c r="V67" s="84">
        <v>10.78</v>
      </c>
      <c r="W67" s="76" t="s">
        <v>1104</v>
      </c>
      <c r="X67" s="90">
        <v>24</v>
      </c>
      <c r="Y67" s="91">
        <v>46873</v>
      </c>
      <c r="Z67" s="92">
        <v>2028</v>
      </c>
      <c r="AA67" s="129">
        <v>190.2</v>
      </c>
      <c r="AB67" s="129">
        <v>177.58</v>
      </c>
      <c r="AC67" s="92"/>
      <c r="AD67" s="130">
        <v>12.62</v>
      </c>
      <c r="AE67" s="128" t="s">
        <v>1104</v>
      </c>
      <c r="AF67" s="61">
        <v>24</v>
      </c>
      <c r="AG67" s="62">
        <v>46873</v>
      </c>
      <c r="AH67" s="63">
        <v>2028</v>
      </c>
      <c r="AI67" s="63">
        <v>190.23</v>
      </c>
      <c r="AJ67" s="63">
        <v>177.61</v>
      </c>
      <c r="AK67" s="63"/>
      <c r="AL67" s="63">
        <v>12.62</v>
      </c>
      <c r="AM67" s="94" t="s">
        <v>1104</v>
      </c>
      <c r="AN67" s="45"/>
      <c r="AO67" s="45"/>
      <c r="AP67" s="45"/>
      <c r="AQ67" s="45"/>
      <c r="AR67" s="45"/>
    </row>
    <row r="68" spans="1:44" ht="60">
      <c r="A68" s="297"/>
      <c r="B68" s="189" t="s">
        <v>1111</v>
      </c>
      <c r="C68" s="190">
        <v>46904</v>
      </c>
      <c r="D68" s="191">
        <v>2028</v>
      </c>
      <c r="E68" s="192">
        <v>190.23</v>
      </c>
      <c r="F68" s="192">
        <v>178.1</v>
      </c>
      <c r="G68" s="192"/>
      <c r="H68" s="193">
        <v>12.13</v>
      </c>
      <c r="I68" s="170">
        <v>25</v>
      </c>
      <c r="J68" s="160">
        <f t="shared" ca="1" si="6"/>
        <v>46904</v>
      </c>
      <c r="K68" s="164">
        <f t="shared" ca="1" si="5"/>
        <v>2028</v>
      </c>
      <c r="L68" s="165">
        <f t="shared" ca="1" si="7"/>
        <v>190.23</v>
      </c>
      <c r="M68" s="165">
        <f t="shared" ca="1" si="8"/>
        <v>178.1</v>
      </c>
      <c r="N68" s="165">
        <f>0</f>
        <v>0</v>
      </c>
      <c r="O68" s="171">
        <f t="shared" ca="1" si="9"/>
        <v>12.13</v>
      </c>
      <c r="P68" s="145">
        <v>25</v>
      </c>
      <c r="Q68" s="74">
        <v>46904</v>
      </c>
      <c r="R68" s="75">
        <v>2028</v>
      </c>
      <c r="S68" s="84">
        <v>218.28</v>
      </c>
      <c r="T68" s="84">
        <v>208.07</v>
      </c>
      <c r="U68" s="63"/>
      <c r="V68" s="84">
        <v>10.210000000000001</v>
      </c>
      <c r="W68" s="76" t="s">
        <v>1104</v>
      </c>
      <c r="X68" s="90">
        <v>25</v>
      </c>
      <c r="Y68" s="91">
        <v>46904</v>
      </c>
      <c r="Z68" s="92">
        <v>2028</v>
      </c>
      <c r="AA68" s="129">
        <v>190.2</v>
      </c>
      <c r="AB68" s="129">
        <v>178.07</v>
      </c>
      <c r="AC68" s="92"/>
      <c r="AD68" s="130">
        <v>12.13</v>
      </c>
      <c r="AE68" s="128" t="s">
        <v>1104</v>
      </c>
      <c r="AF68" s="61">
        <v>25</v>
      </c>
      <c r="AG68" s="62">
        <v>46904</v>
      </c>
      <c r="AH68" s="63">
        <v>2028</v>
      </c>
      <c r="AI68" s="63">
        <v>190.23</v>
      </c>
      <c r="AJ68" s="63">
        <v>178.1</v>
      </c>
      <c r="AK68" s="63"/>
      <c r="AL68" s="63">
        <v>12.13</v>
      </c>
      <c r="AM68" s="94" t="s">
        <v>1104</v>
      </c>
      <c r="AN68" s="45"/>
      <c r="AO68" s="45"/>
      <c r="AP68" s="45"/>
      <c r="AQ68" s="45"/>
      <c r="AR68" s="45"/>
    </row>
    <row r="69" spans="1:44" ht="60">
      <c r="A69" s="297"/>
      <c r="B69" s="189" t="s">
        <v>1112</v>
      </c>
      <c r="C69" s="190">
        <v>46934</v>
      </c>
      <c r="D69" s="191">
        <v>2028</v>
      </c>
      <c r="E69" s="192">
        <v>190.23</v>
      </c>
      <c r="F69" s="192">
        <v>178.6</v>
      </c>
      <c r="G69" s="192"/>
      <c r="H69" s="193">
        <v>11.63</v>
      </c>
      <c r="I69" s="170">
        <v>26</v>
      </c>
      <c r="J69" s="160">
        <f t="shared" ca="1" si="6"/>
        <v>46934</v>
      </c>
      <c r="K69" s="164">
        <f t="shared" ca="1" si="5"/>
        <v>2028</v>
      </c>
      <c r="L69" s="165">
        <f t="shared" ca="1" si="7"/>
        <v>190.23</v>
      </c>
      <c r="M69" s="165">
        <f t="shared" ca="1" si="8"/>
        <v>178.6</v>
      </c>
      <c r="N69" s="165">
        <f>0</f>
        <v>0</v>
      </c>
      <c r="O69" s="171">
        <f t="shared" ca="1" si="9"/>
        <v>11.63</v>
      </c>
      <c r="P69" s="145">
        <v>26</v>
      </c>
      <c r="Q69" s="74">
        <v>46934</v>
      </c>
      <c r="R69" s="75">
        <v>2028</v>
      </c>
      <c r="S69" s="84">
        <v>218.28</v>
      </c>
      <c r="T69" s="84">
        <v>208.65</v>
      </c>
      <c r="U69" s="63"/>
      <c r="V69" s="84">
        <v>9.6300000000000008</v>
      </c>
      <c r="W69" s="76" t="s">
        <v>1104</v>
      </c>
      <c r="X69" s="90">
        <v>26</v>
      </c>
      <c r="Y69" s="91">
        <v>46934</v>
      </c>
      <c r="Z69" s="92">
        <v>2028</v>
      </c>
      <c r="AA69" s="129">
        <v>190.2</v>
      </c>
      <c r="AB69" s="129">
        <v>178.56</v>
      </c>
      <c r="AC69" s="92"/>
      <c r="AD69" s="131">
        <v>11.64</v>
      </c>
      <c r="AE69" s="128" t="s">
        <v>1104</v>
      </c>
      <c r="AF69" s="61">
        <v>26</v>
      </c>
      <c r="AG69" s="62">
        <v>46934</v>
      </c>
      <c r="AH69" s="63">
        <v>2028</v>
      </c>
      <c r="AI69" s="63">
        <v>190.23</v>
      </c>
      <c r="AJ69" s="63">
        <v>178.6</v>
      </c>
      <c r="AK69" s="63"/>
      <c r="AL69" s="63">
        <v>11.63</v>
      </c>
      <c r="AM69" s="94" t="s">
        <v>1104</v>
      </c>
      <c r="AN69" s="45"/>
      <c r="AO69" s="45"/>
      <c r="AP69" s="45"/>
      <c r="AQ69" s="45"/>
      <c r="AR69" s="45"/>
    </row>
    <row r="70" spans="1:44" ht="60">
      <c r="A70" s="297"/>
      <c r="B70" s="189" t="s">
        <v>1113</v>
      </c>
      <c r="C70" s="190">
        <v>46965</v>
      </c>
      <c r="D70" s="191">
        <v>2028</v>
      </c>
      <c r="E70" s="192">
        <v>190.23</v>
      </c>
      <c r="F70" s="192">
        <v>179.09</v>
      </c>
      <c r="G70" s="192"/>
      <c r="H70" s="193">
        <v>11.14</v>
      </c>
      <c r="I70" s="170">
        <v>27</v>
      </c>
      <c r="J70" s="160">
        <f t="shared" ca="1" si="6"/>
        <v>46965</v>
      </c>
      <c r="K70" s="164">
        <f t="shared" ca="1" si="5"/>
        <v>2028</v>
      </c>
      <c r="L70" s="165">
        <f t="shared" ca="1" si="7"/>
        <v>190.23</v>
      </c>
      <c r="M70" s="165">
        <f t="shared" ca="1" si="8"/>
        <v>179.09</v>
      </c>
      <c r="N70" s="165">
        <f>0</f>
        <v>0</v>
      </c>
      <c r="O70" s="171">
        <f t="shared" ca="1" si="9"/>
        <v>11.14</v>
      </c>
      <c r="P70" s="145">
        <v>27</v>
      </c>
      <c r="Q70" s="74">
        <v>46965</v>
      </c>
      <c r="R70" s="75">
        <v>2028</v>
      </c>
      <c r="S70" s="84">
        <v>218.28</v>
      </c>
      <c r="T70" s="84">
        <v>209.23</v>
      </c>
      <c r="U70" s="63"/>
      <c r="V70" s="84">
        <v>9.0500000000000007</v>
      </c>
      <c r="W70" s="76" t="s">
        <v>1104</v>
      </c>
      <c r="X70" s="90">
        <v>27</v>
      </c>
      <c r="Y70" s="91">
        <v>46965</v>
      </c>
      <c r="Z70" s="92">
        <v>2028</v>
      </c>
      <c r="AA70" s="129">
        <v>190.2</v>
      </c>
      <c r="AB70" s="129">
        <v>179.06</v>
      </c>
      <c r="AC70" s="92"/>
      <c r="AD70" s="130">
        <v>11.14</v>
      </c>
      <c r="AE70" s="128" t="s">
        <v>1104</v>
      </c>
      <c r="AF70" s="61">
        <v>27</v>
      </c>
      <c r="AG70" s="62">
        <v>46965</v>
      </c>
      <c r="AH70" s="63">
        <v>2028</v>
      </c>
      <c r="AI70" s="63">
        <v>190.23</v>
      </c>
      <c r="AJ70" s="63">
        <v>179.09</v>
      </c>
      <c r="AK70" s="63"/>
      <c r="AL70" s="63">
        <v>11.14</v>
      </c>
      <c r="AM70" s="94" t="s">
        <v>1104</v>
      </c>
      <c r="AN70" s="45"/>
      <c r="AO70" s="45"/>
      <c r="AP70" s="45"/>
      <c r="AQ70" s="45"/>
      <c r="AR70" s="45"/>
    </row>
    <row r="71" spans="1:44" ht="60">
      <c r="A71" s="297"/>
      <c r="B71" s="189" t="s">
        <v>1114</v>
      </c>
      <c r="C71" s="190">
        <v>46996</v>
      </c>
      <c r="D71" s="191">
        <v>2028</v>
      </c>
      <c r="E71" s="192">
        <v>190.23</v>
      </c>
      <c r="F71" s="192">
        <v>179.59</v>
      </c>
      <c r="G71" s="192"/>
      <c r="H71" s="193">
        <v>10.64</v>
      </c>
      <c r="I71" s="170">
        <v>28</v>
      </c>
      <c r="J71" s="160">
        <f t="shared" ca="1" si="6"/>
        <v>46996</v>
      </c>
      <c r="K71" s="164">
        <f t="shared" ca="1" si="5"/>
        <v>2028</v>
      </c>
      <c r="L71" s="165">
        <f t="shared" ca="1" si="7"/>
        <v>190.23</v>
      </c>
      <c r="M71" s="165">
        <f t="shared" ca="1" si="8"/>
        <v>179.59</v>
      </c>
      <c r="N71" s="165">
        <f>0</f>
        <v>0</v>
      </c>
      <c r="O71" s="171">
        <f t="shared" ca="1" si="9"/>
        <v>10.64</v>
      </c>
      <c r="P71" s="145">
        <v>28</v>
      </c>
      <c r="Q71" s="74">
        <v>46996</v>
      </c>
      <c r="R71" s="75">
        <v>2028</v>
      </c>
      <c r="S71" s="84">
        <v>218.28</v>
      </c>
      <c r="T71" s="84">
        <v>209.81</v>
      </c>
      <c r="U71" s="63"/>
      <c r="V71" s="84">
        <v>8.4700000000000006</v>
      </c>
      <c r="W71" s="76" t="s">
        <v>1104</v>
      </c>
      <c r="X71" s="90">
        <v>28</v>
      </c>
      <c r="Y71" s="91">
        <v>46996</v>
      </c>
      <c r="Z71" s="92">
        <v>2028</v>
      </c>
      <c r="AA71" s="129">
        <v>190.2</v>
      </c>
      <c r="AB71" s="129">
        <v>179.56</v>
      </c>
      <c r="AC71" s="92"/>
      <c r="AD71" s="130">
        <v>10.64</v>
      </c>
      <c r="AE71" s="128" t="s">
        <v>1104</v>
      </c>
      <c r="AF71" s="61">
        <v>28</v>
      </c>
      <c r="AG71" s="62">
        <v>46996</v>
      </c>
      <c r="AH71" s="63">
        <v>2028</v>
      </c>
      <c r="AI71" s="63">
        <v>190.23</v>
      </c>
      <c r="AJ71" s="63">
        <v>179.59</v>
      </c>
      <c r="AK71" s="63"/>
      <c r="AL71" s="63">
        <v>10.64</v>
      </c>
      <c r="AM71" s="94" t="s">
        <v>1104</v>
      </c>
      <c r="AN71" s="45"/>
      <c r="AO71" s="45"/>
      <c r="AP71" s="45"/>
      <c r="AQ71" s="45"/>
      <c r="AR71" s="45"/>
    </row>
    <row r="72" spans="1:44" ht="60">
      <c r="A72" s="297"/>
      <c r="B72" s="189" t="s">
        <v>1115</v>
      </c>
      <c r="C72" s="190">
        <v>47026</v>
      </c>
      <c r="D72" s="191">
        <v>2028</v>
      </c>
      <c r="E72" s="192">
        <v>190.23</v>
      </c>
      <c r="F72" s="192">
        <v>180.09</v>
      </c>
      <c r="G72" s="192"/>
      <c r="H72" s="193">
        <v>10.14</v>
      </c>
      <c r="I72" s="170">
        <v>29</v>
      </c>
      <c r="J72" s="160">
        <f t="shared" ca="1" si="6"/>
        <v>47026</v>
      </c>
      <c r="K72" s="164">
        <f t="shared" ca="1" si="5"/>
        <v>2028</v>
      </c>
      <c r="L72" s="165">
        <f t="shared" ca="1" si="7"/>
        <v>190.23</v>
      </c>
      <c r="M72" s="165">
        <f t="shared" ca="1" si="8"/>
        <v>180.09</v>
      </c>
      <c r="N72" s="165">
        <f>0</f>
        <v>0</v>
      </c>
      <c r="O72" s="171">
        <f t="shared" ca="1" si="9"/>
        <v>10.14</v>
      </c>
      <c r="P72" s="145">
        <v>29</v>
      </c>
      <c r="Q72" s="74">
        <v>47026</v>
      </c>
      <c r="R72" s="75">
        <v>2028</v>
      </c>
      <c r="S72" s="84">
        <v>218.28</v>
      </c>
      <c r="T72" s="84">
        <v>210.39</v>
      </c>
      <c r="U72" s="63"/>
      <c r="V72" s="84">
        <v>7.89</v>
      </c>
      <c r="W72" s="76" t="s">
        <v>1104</v>
      </c>
      <c r="X72" s="90">
        <v>29</v>
      </c>
      <c r="Y72" s="91">
        <v>47026</v>
      </c>
      <c r="Z72" s="92">
        <v>2028</v>
      </c>
      <c r="AA72" s="129">
        <v>190.2</v>
      </c>
      <c r="AB72" s="129">
        <v>180.06</v>
      </c>
      <c r="AC72" s="92"/>
      <c r="AD72" s="130">
        <v>10.14</v>
      </c>
      <c r="AE72" s="128" t="s">
        <v>1104</v>
      </c>
      <c r="AF72" s="61">
        <v>29</v>
      </c>
      <c r="AG72" s="62">
        <v>47026</v>
      </c>
      <c r="AH72" s="63">
        <v>2028</v>
      </c>
      <c r="AI72" s="63">
        <v>190.23</v>
      </c>
      <c r="AJ72" s="63">
        <v>180.09</v>
      </c>
      <c r="AK72" s="63"/>
      <c r="AL72" s="63">
        <v>10.14</v>
      </c>
      <c r="AM72" s="94" t="s">
        <v>1104</v>
      </c>
      <c r="AN72" s="45"/>
      <c r="AO72" s="45"/>
      <c r="AP72" s="45"/>
      <c r="AQ72" s="45"/>
      <c r="AR72" s="45"/>
    </row>
    <row r="73" spans="1:44" ht="60">
      <c r="A73" s="297"/>
      <c r="B73" s="189" t="s">
        <v>1116</v>
      </c>
      <c r="C73" s="190">
        <v>47057</v>
      </c>
      <c r="D73" s="191">
        <v>2028</v>
      </c>
      <c r="E73" s="192">
        <v>190.23</v>
      </c>
      <c r="F73" s="192">
        <v>180.59</v>
      </c>
      <c r="G73" s="192"/>
      <c r="H73" s="193">
        <v>9.64</v>
      </c>
      <c r="I73" s="170">
        <v>30</v>
      </c>
      <c r="J73" s="160">
        <f t="shared" ca="1" si="6"/>
        <v>47057</v>
      </c>
      <c r="K73" s="164">
        <f t="shared" ca="1" si="5"/>
        <v>2028</v>
      </c>
      <c r="L73" s="165">
        <f t="shared" ca="1" si="7"/>
        <v>190.23</v>
      </c>
      <c r="M73" s="165">
        <f t="shared" ca="1" si="8"/>
        <v>180.59</v>
      </c>
      <c r="N73" s="165">
        <f>0</f>
        <v>0</v>
      </c>
      <c r="O73" s="171">
        <f t="shared" ca="1" si="9"/>
        <v>9.64</v>
      </c>
      <c r="P73" s="145">
        <v>30</v>
      </c>
      <c r="Q73" s="74">
        <v>47057</v>
      </c>
      <c r="R73" s="75">
        <v>2028</v>
      </c>
      <c r="S73" s="84">
        <v>218.28</v>
      </c>
      <c r="T73" s="84">
        <v>210.98</v>
      </c>
      <c r="U73" s="63"/>
      <c r="V73" s="84">
        <v>7.3</v>
      </c>
      <c r="W73" s="76" t="s">
        <v>1104</v>
      </c>
      <c r="X73" s="90">
        <v>30</v>
      </c>
      <c r="Y73" s="91">
        <v>47057</v>
      </c>
      <c r="Z73" s="92">
        <v>2028</v>
      </c>
      <c r="AA73" s="129">
        <v>190.2</v>
      </c>
      <c r="AB73" s="129">
        <v>180.55</v>
      </c>
      <c r="AC73" s="92"/>
      <c r="AD73" s="131">
        <v>9.65</v>
      </c>
      <c r="AE73" s="128" t="s">
        <v>1104</v>
      </c>
      <c r="AF73" s="61">
        <v>30</v>
      </c>
      <c r="AG73" s="62">
        <v>47057</v>
      </c>
      <c r="AH73" s="63">
        <v>2028</v>
      </c>
      <c r="AI73" s="63">
        <v>190.23</v>
      </c>
      <c r="AJ73" s="63">
        <v>180.59</v>
      </c>
      <c r="AK73" s="63"/>
      <c r="AL73" s="63">
        <v>9.64</v>
      </c>
      <c r="AM73" s="94" t="s">
        <v>1104</v>
      </c>
      <c r="AN73" s="45"/>
      <c r="AO73" s="45"/>
      <c r="AP73" s="45"/>
      <c r="AQ73" s="45"/>
      <c r="AR73" s="45"/>
    </row>
    <row r="74" spans="1:44" ht="60">
      <c r="A74" s="297"/>
      <c r="B74" s="189" t="s">
        <v>1117</v>
      </c>
      <c r="C74" s="190">
        <v>47087</v>
      </c>
      <c r="D74" s="191">
        <v>2028</v>
      </c>
      <c r="E74" s="192">
        <v>190.23</v>
      </c>
      <c r="F74" s="192">
        <v>181.09</v>
      </c>
      <c r="G74" s="192"/>
      <c r="H74" s="193">
        <v>9.14</v>
      </c>
      <c r="I74" s="170">
        <v>31</v>
      </c>
      <c r="J74" s="160">
        <f t="shared" ca="1" si="6"/>
        <v>47087</v>
      </c>
      <c r="K74" s="164">
        <f t="shared" ca="1" si="5"/>
        <v>2028</v>
      </c>
      <c r="L74" s="165">
        <f t="shared" ca="1" si="7"/>
        <v>190.23</v>
      </c>
      <c r="M74" s="165">
        <f t="shared" ca="1" si="8"/>
        <v>181.09</v>
      </c>
      <c r="N74" s="165">
        <f>0</f>
        <v>0</v>
      </c>
      <c r="O74" s="171">
        <f t="shared" ca="1" si="9"/>
        <v>9.14</v>
      </c>
      <c r="P74" s="145">
        <v>31</v>
      </c>
      <c r="Q74" s="74">
        <v>47087</v>
      </c>
      <c r="R74" s="75">
        <v>2028</v>
      </c>
      <c r="S74" s="84">
        <v>218.28</v>
      </c>
      <c r="T74" s="84">
        <v>211.56</v>
      </c>
      <c r="U74" s="63"/>
      <c r="V74" s="84">
        <v>6.72</v>
      </c>
      <c r="W74" s="76" t="s">
        <v>1104</v>
      </c>
      <c r="X74" s="90">
        <v>31</v>
      </c>
      <c r="Y74" s="91">
        <v>47087</v>
      </c>
      <c r="Z74" s="92">
        <v>2028</v>
      </c>
      <c r="AA74" s="129">
        <v>190.2</v>
      </c>
      <c r="AB74" s="129">
        <v>181.06</v>
      </c>
      <c r="AC74" s="92"/>
      <c r="AD74" s="130">
        <v>9.14</v>
      </c>
      <c r="AE74" s="128" t="s">
        <v>1104</v>
      </c>
      <c r="AF74" s="61">
        <v>31</v>
      </c>
      <c r="AG74" s="62">
        <v>47087</v>
      </c>
      <c r="AH74" s="63">
        <v>2028</v>
      </c>
      <c r="AI74" s="63">
        <v>190.23</v>
      </c>
      <c r="AJ74" s="63">
        <v>181.09</v>
      </c>
      <c r="AK74" s="63"/>
      <c r="AL74" s="63">
        <v>9.14</v>
      </c>
      <c r="AM74" s="94" t="s">
        <v>1104</v>
      </c>
      <c r="AN74" s="45"/>
      <c r="AO74" s="45"/>
      <c r="AP74" s="45"/>
      <c r="AQ74" s="45"/>
      <c r="AR74" s="45"/>
    </row>
    <row r="75" spans="1:44" ht="60">
      <c r="A75" s="297"/>
      <c r="B75" s="189" t="s">
        <v>1118</v>
      </c>
      <c r="C75" s="190">
        <v>47118</v>
      </c>
      <c r="D75" s="191">
        <v>2028</v>
      </c>
      <c r="E75" s="192">
        <v>190.23</v>
      </c>
      <c r="F75" s="192">
        <v>181.59</v>
      </c>
      <c r="G75" s="192"/>
      <c r="H75" s="193">
        <v>8.64</v>
      </c>
      <c r="I75" s="170">
        <v>32</v>
      </c>
      <c r="J75" s="160">
        <f t="shared" ca="1" si="6"/>
        <v>47118</v>
      </c>
      <c r="K75" s="164">
        <f t="shared" ca="1" si="5"/>
        <v>2028</v>
      </c>
      <c r="L75" s="165">
        <f t="shared" ca="1" si="7"/>
        <v>190.23</v>
      </c>
      <c r="M75" s="165">
        <f t="shared" ca="1" si="8"/>
        <v>181.59</v>
      </c>
      <c r="N75" s="165">
        <f>0</f>
        <v>0</v>
      </c>
      <c r="O75" s="171">
        <f t="shared" ca="1" si="9"/>
        <v>8.64</v>
      </c>
      <c r="P75" s="145">
        <v>32</v>
      </c>
      <c r="Q75" s="74">
        <v>47118</v>
      </c>
      <c r="R75" s="75">
        <v>2028</v>
      </c>
      <c r="S75" s="84">
        <v>218.28</v>
      </c>
      <c r="T75" s="84">
        <v>212.15</v>
      </c>
      <c r="U75" s="63"/>
      <c r="V75" s="84">
        <v>6.13</v>
      </c>
      <c r="W75" s="76" t="s">
        <v>1104</v>
      </c>
      <c r="X75" s="90">
        <v>32</v>
      </c>
      <c r="Y75" s="91">
        <v>47118</v>
      </c>
      <c r="Z75" s="92">
        <v>2028</v>
      </c>
      <c r="AA75" s="129">
        <v>190.2</v>
      </c>
      <c r="AB75" s="129">
        <v>181.56</v>
      </c>
      <c r="AC75" s="92"/>
      <c r="AD75" s="130">
        <v>8.64</v>
      </c>
      <c r="AE75" s="128" t="s">
        <v>1104</v>
      </c>
      <c r="AF75" s="61">
        <v>32</v>
      </c>
      <c r="AG75" s="62">
        <v>47118</v>
      </c>
      <c r="AH75" s="63">
        <v>2028</v>
      </c>
      <c r="AI75" s="63">
        <v>190.23</v>
      </c>
      <c r="AJ75" s="63">
        <v>181.59</v>
      </c>
      <c r="AK75" s="63"/>
      <c r="AL75" s="63">
        <v>8.64</v>
      </c>
      <c r="AM75" s="94" t="s">
        <v>1104</v>
      </c>
      <c r="AN75" s="45"/>
      <c r="AO75" s="45"/>
      <c r="AP75" s="45"/>
      <c r="AQ75" s="45"/>
      <c r="AR75" s="45"/>
    </row>
    <row r="76" spans="1:44" ht="60">
      <c r="A76" s="297"/>
      <c r="B76" s="189" t="s">
        <v>1119</v>
      </c>
      <c r="C76" s="190">
        <v>47149</v>
      </c>
      <c r="D76" s="191">
        <v>2029</v>
      </c>
      <c r="E76" s="192">
        <v>190.23</v>
      </c>
      <c r="F76" s="192">
        <v>182.09</v>
      </c>
      <c r="G76" s="192"/>
      <c r="H76" s="193">
        <v>8.14</v>
      </c>
      <c r="I76" s="170">
        <v>33</v>
      </c>
      <c r="J76" s="160">
        <f t="shared" ca="1" si="6"/>
        <v>47149</v>
      </c>
      <c r="K76" s="164">
        <f t="shared" ca="1" si="5"/>
        <v>2029</v>
      </c>
      <c r="L76" s="165">
        <f t="shared" ca="1" si="7"/>
        <v>190.23</v>
      </c>
      <c r="M76" s="165">
        <f t="shared" ca="1" si="8"/>
        <v>182.09</v>
      </c>
      <c r="N76" s="165">
        <f>0</f>
        <v>0</v>
      </c>
      <c r="O76" s="171">
        <f t="shared" ca="1" si="9"/>
        <v>8.14</v>
      </c>
      <c r="P76" s="145">
        <v>33</v>
      </c>
      <c r="Q76" s="74">
        <v>47149</v>
      </c>
      <c r="R76" s="75">
        <v>2029</v>
      </c>
      <c r="S76" s="84">
        <v>218.28</v>
      </c>
      <c r="T76" s="84">
        <v>212.74</v>
      </c>
      <c r="U76" s="63"/>
      <c r="V76" s="84">
        <v>5.54</v>
      </c>
      <c r="W76" s="76" t="s">
        <v>1104</v>
      </c>
      <c r="X76" s="90">
        <v>33</v>
      </c>
      <c r="Y76" s="91">
        <v>47149</v>
      </c>
      <c r="Z76" s="92">
        <v>2029</v>
      </c>
      <c r="AA76" s="129">
        <v>190.2</v>
      </c>
      <c r="AB76" s="129">
        <v>182.06</v>
      </c>
      <c r="AC76" s="92"/>
      <c r="AD76" s="130">
        <v>8.14</v>
      </c>
      <c r="AE76" s="128" t="s">
        <v>1104</v>
      </c>
      <c r="AF76" s="61">
        <v>33</v>
      </c>
      <c r="AG76" s="62">
        <v>47149</v>
      </c>
      <c r="AH76" s="63">
        <v>2029</v>
      </c>
      <c r="AI76" s="63">
        <v>190.23</v>
      </c>
      <c r="AJ76" s="63">
        <v>182.09</v>
      </c>
      <c r="AK76" s="63"/>
      <c r="AL76" s="63">
        <v>8.14</v>
      </c>
      <c r="AM76" s="94" t="s">
        <v>1104</v>
      </c>
      <c r="AN76" s="45"/>
      <c r="AO76" s="45"/>
      <c r="AP76" s="45"/>
      <c r="AQ76" s="45"/>
      <c r="AR76" s="45"/>
    </row>
    <row r="77" spans="1:44" ht="60">
      <c r="A77" s="297"/>
      <c r="B77" s="189" t="s">
        <v>1120</v>
      </c>
      <c r="C77" s="190">
        <v>47177</v>
      </c>
      <c r="D77" s="191">
        <v>2029</v>
      </c>
      <c r="E77" s="192">
        <v>190.23</v>
      </c>
      <c r="F77" s="192">
        <v>182.6</v>
      </c>
      <c r="G77" s="192"/>
      <c r="H77" s="193">
        <v>7.63</v>
      </c>
      <c r="I77" s="170">
        <v>34</v>
      </c>
      <c r="J77" s="160">
        <f t="shared" ca="1" si="6"/>
        <v>47177</v>
      </c>
      <c r="K77" s="164">
        <f t="shared" ca="1" si="5"/>
        <v>2029</v>
      </c>
      <c r="L77" s="165">
        <f t="shared" ca="1" si="7"/>
        <v>190.23</v>
      </c>
      <c r="M77" s="165">
        <f t="shared" ca="1" si="8"/>
        <v>182.6</v>
      </c>
      <c r="N77" s="165">
        <f>0</f>
        <v>0</v>
      </c>
      <c r="O77" s="171">
        <f t="shared" ca="1" si="9"/>
        <v>7.63</v>
      </c>
      <c r="P77" s="145">
        <v>34</v>
      </c>
      <c r="Q77" s="74">
        <v>47177</v>
      </c>
      <c r="R77" s="75">
        <v>2029</v>
      </c>
      <c r="S77" s="84">
        <v>218.28</v>
      </c>
      <c r="T77" s="84">
        <v>213.33</v>
      </c>
      <c r="U77" s="63"/>
      <c r="V77" s="84">
        <v>4.95</v>
      </c>
      <c r="W77" s="76" t="s">
        <v>1104</v>
      </c>
      <c r="X77" s="90">
        <v>34</v>
      </c>
      <c r="Y77" s="91">
        <v>47177</v>
      </c>
      <c r="Z77" s="92">
        <v>2029</v>
      </c>
      <c r="AA77" s="129">
        <v>190.2</v>
      </c>
      <c r="AB77" s="129">
        <v>182.57</v>
      </c>
      <c r="AC77" s="92"/>
      <c r="AD77" s="130">
        <v>7.63</v>
      </c>
      <c r="AE77" s="128" t="s">
        <v>1104</v>
      </c>
      <c r="AF77" s="61">
        <v>34</v>
      </c>
      <c r="AG77" s="62">
        <v>47177</v>
      </c>
      <c r="AH77" s="63">
        <v>2029</v>
      </c>
      <c r="AI77" s="63">
        <v>190.23</v>
      </c>
      <c r="AJ77" s="63">
        <v>182.6</v>
      </c>
      <c r="AK77" s="63"/>
      <c r="AL77" s="63">
        <v>7.63</v>
      </c>
      <c r="AM77" s="94" t="s">
        <v>1104</v>
      </c>
      <c r="AN77" s="45"/>
      <c r="AO77" s="45"/>
      <c r="AP77" s="45"/>
      <c r="AQ77" s="45"/>
      <c r="AR77" s="45"/>
    </row>
    <row r="78" spans="1:44" ht="60">
      <c r="A78" s="297"/>
      <c r="B78" s="189" t="s">
        <v>1121</v>
      </c>
      <c r="C78" s="190">
        <v>47208</v>
      </c>
      <c r="D78" s="191">
        <v>2029</v>
      </c>
      <c r="E78" s="192">
        <v>190.23</v>
      </c>
      <c r="F78" s="192">
        <v>183.11</v>
      </c>
      <c r="G78" s="192"/>
      <c r="H78" s="193">
        <v>7.12</v>
      </c>
      <c r="I78" s="170">
        <v>35</v>
      </c>
      <c r="J78" s="160">
        <f t="shared" ca="1" si="6"/>
        <v>47208</v>
      </c>
      <c r="K78" s="164">
        <f t="shared" ca="1" si="5"/>
        <v>2029</v>
      </c>
      <c r="L78" s="165">
        <f t="shared" ca="1" si="7"/>
        <v>190.23</v>
      </c>
      <c r="M78" s="165">
        <f t="shared" ca="1" si="8"/>
        <v>183.11</v>
      </c>
      <c r="N78" s="165">
        <f>0</f>
        <v>0</v>
      </c>
      <c r="O78" s="171">
        <f t="shared" ca="1" si="9"/>
        <v>7.12</v>
      </c>
      <c r="P78" s="145">
        <v>35</v>
      </c>
      <c r="Q78" s="74">
        <v>47208</v>
      </c>
      <c r="R78" s="75">
        <v>2029</v>
      </c>
      <c r="S78" s="84">
        <v>218.28</v>
      </c>
      <c r="T78" s="84">
        <v>213.92</v>
      </c>
      <c r="U78" s="63"/>
      <c r="V78" s="84">
        <v>4.3600000000000003</v>
      </c>
      <c r="W78" s="76" t="s">
        <v>1104</v>
      </c>
      <c r="X78" s="90">
        <v>35</v>
      </c>
      <c r="Y78" s="91">
        <v>47208</v>
      </c>
      <c r="Z78" s="92">
        <v>2029</v>
      </c>
      <c r="AA78" s="129">
        <v>190.2</v>
      </c>
      <c r="AB78" s="129">
        <v>183.07</v>
      </c>
      <c r="AC78" s="92"/>
      <c r="AD78" s="131">
        <v>7.13</v>
      </c>
      <c r="AE78" s="128" t="s">
        <v>1104</v>
      </c>
      <c r="AF78" s="61">
        <v>35</v>
      </c>
      <c r="AG78" s="62">
        <v>47208</v>
      </c>
      <c r="AH78" s="63">
        <v>2029</v>
      </c>
      <c r="AI78" s="63">
        <v>190.23</v>
      </c>
      <c r="AJ78" s="63">
        <v>183.11</v>
      </c>
      <c r="AK78" s="63"/>
      <c r="AL78" s="63">
        <v>7.12</v>
      </c>
      <c r="AM78" s="94" t="s">
        <v>1104</v>
      </c>
      <c r="AN78" s="45"/>
      <c r="AO78" s="45"/>
      <c r="AP78" s="45"/>
      <c r="AQ78" s="45"/>
      <c r="AR78" s="45"/>
    </row>
    <row r="79" spans="1:44" ht="60">
      <c r="A79" s="297"/>
      <c r="B79" s="189" t="s">
        <v>1122</v>
      </c>
      <c r="C79" s="190">
        <v>47238</v>
      </c>
      <c r="D79" s="191">
        <v>2029</v>
      </c>
      <c r="E79" s="192">
        <v>190.36</v>
      </c>
      <c r="F79" s="192">
        <v>183.75</v>
      </c>
      <c r="G79" s="192"/>
      <c r="H79" s="193">
        <v>6.61</v>
      </c>
      <c r="I79" s="170">
        <v>36</v>
      </c>
      <c r="J79" s="160">
        <f t="shared" ca="1" si="6"/>
        <v>47238</v>
      </c>
      <c r="K79" s="164">
        <f t="shared" ca="1" si="5"/>
        <v>2029</v>
      </c>
      <c r="L79" s="165">
        <f ca="1">ROUND(M79+O79,2)</f>
        <v>190.36</v>
      </c>
      <c r="M79" s="165">
        <f ca="1">ROUND(P78-ROUND($M$59*$M$61,2),2)</f>
        <v>183.75</v>
      </c>
      <c r="N79" s="165">
        <f>0</f>
        <v>0</v>
      </c>
      <c r="O79" s="171">
        <f t="shared" ca="1" si="9"/>
        <v>6.61</v>
      </c>
      <c r="P79" s="145">
        <v>36</v>
      </c>
      <c r="Q79" s="74">
        <v>47238</v>
      </c>
      <c r="R79" s="75">
        <v>2029</v>
      </c>
      <c r="S79" s="84">
        <v>218.77</v>
      </c>
      <c r="T79" s="84">
        <v>215</v>
      </c>
      <c r="U79" s="63"/>
      <c r="V79" s="84">
        <v>3.77</v>
      </c>
      <c r="W79" s="76" t="s">
        <v>1104</v>
      </c>
      <c r="X79" s="90">
        <v>36</v>
      </c>
      <c r="Y79" s="91">
        <v>47238</v>
      </c>
      <c r="Z79" s="92">
        <v>2029</v>
      </c>
      <c r="AA79" s="129">
        <v>191.49</v>
      </c>
      <c r="AB79" s="129">
        <v>184.87</v>
      </c>
      <c r="AC79" s="92"/>
      <c r="AD79" s="131">
        <v>6.62</v>
      </c>
      <c r="AE79" s="128" t="s">
        <v>1104</v>
      </c>
      <c r="AF79" s="61">
        <v>36</v>
      </c>
      <c r="AG79" s="62">
        <v>47238</v>
      </c>
      <c r="AH79" s="63">
        <v>2029</v>
      </c>
      <c r="AI79" s="63">
        <v>190.36</v>
      </c>
      <c r="AJ79" s="63">
        <v>183.75</v>
      </c>
      <c r="AK79" s="63"/>
      <c r="AL79" s="63">
        <v>6.61</v>
      </c>
      <c r="AM79" s="94" t="s">
        <v>1104</v>
      </c>
      <c r="AN79" s="45"/>
      <c r="AO79" s="45"/>
      <c r="AP79" s="45"/>
      <c r="AQ79" s="45"/>
      <c r="AR79" s="45"/>
    </row>
    <row r="80" spans="1:44" ht="75.75" thickBot="1">
      <c r="A80" s="298"/>
      <c r="B80" s="194" t="s">
        <v>1100</v>
      </c>
      <c r="C80" s="195">
        <v>47238</v>
      </c>
      <c r="D80" s="196">
        <v>2029</v>
      </c>
      <c r="E80" s="197">
        <v>2200</v>
      </c>
      <c r="F80" s="197">
        <v>0</v>
      </c>
      <c r="G80" s="197">
        <v>2200</v>
      </c>
      <c r="H80" s="198">
        <v>0</v>
      </c>
      <c r="I80" s="150" t="s">
        <v>1074</v>
      </c>
      <c r="J80" s="172">
        <f ca="1">EOMONTH($M$58,I79)</f>
        <v>47238</v>
      </c>
      <c r="K80" s="173">
        <f t="shared" ca="1" si="5"/>
        <v>2029</v>
      </c>
      <c r="L80" s="174">
        <v>2200</v>
      </c>
      <c r="M80" s="174">
        <f>0</f>
        <v>0</v>
      </c>
      <c r="N80" s="174">
        <f ca="1">ROUND($M$59*$M$61,2)</f>
        <v>2200</v>
      </c>
      <c r="O80" s="175">
        <f>0</f>
        <v>0</v>
      </c>
      <c r="P80" s="147" t="s">
        <v>1100</v>
      </c>
      <c r="Q80" s="81">
        <v>47238</v>
      </c>
      <c r="R80" s="82">
        <v>2029</v>
      </c>
      <c r="S80" s="82">
        <v>2200</v>
      </c>
      <c r="T80" s="82">
        <v>0</v>
      </c>
      <c r="U80" s="82">
        <v>2200</v>
      </c>
      <c r="V80" s="82">
        <v>0</v>
      </c>
      <c r="W80" s="83" t="s">
        <v>1105</v>
      </c>
      <c r="X80" s="103" t="s">
        <v>1100</v>
      </c>
      <c r="Y80" s="105">
        <v>47238</v>
      </c>
      <c r="Z80" s="104">
        <v>2029</v>
      </c>
      <c r="AA80" s="104">
        <v>2200</v>
      </c>
      <c r="AB80" s="104">
        <v>0</v>
      </c>
      <c r="AC80" s="104">
        <v>2200</v>
      </c>
      <c r="AD80" s="133">
        <v>0</v>
      </c>
      <c r="AE80" s="132" t="s">
        <v>1105</v>
      </c>
      <c r="AF80" s="134" t="s">
        <v>1100</v>
      </c>
      <c r="AG80" s="135">
        <v>47238</v>
      </c>
      <c r="AH80" s="136">
        <v>2029</v>
      </c>
      <c r="AI80" s="136">
        <v>2200</v>
      </c>
      <c r="AJ80" s="136">
        <v>0</v>
      </c>
      <c r="AK80" s="136">
        <v>2200</v>
      </c>
      <c r="AL80" s="136">
        <v>0</v>
      </c>
      <c r="AM80" s="137" t="s">
        <v>1105</v>
      </c>
      <c r="AN80" s="45"/>
      <c r="AO80" s="45"/>
      <c r="AP80" s="45"/>
      <c r="AQ80" s="45"/>
      <c r="AR80" s="45"/>
    </row>
  </sheetData>
  <mergeCells count="8">
    <mergeCell ref="AF1:AM1"/>
    <mergeCell ref="A3:A28"/>
    <mergeCell ref="I1:O1"/>
    <mergeCell ref="A29:A42"/>
    <mergeCell ref="A43:A80"/>
    <mergeCell ref="B1:H1"/>
    <mergeCell ref="P1:W1"/>
    <mergeCell ref="X1:AE1"/>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A1:AS80"/>
  <sheetViews>
    <sheetView topLeftCell="X1" zoomScale="85" zoomScaleNormal="85" workbookViewId="0">
      <pane ySplit="1" topLeftCell="A2" activePane="bottomLeft" state="frozen"/>
      <selection pane="bottomLeft" activeCell="AS2" sqref="AS2"/>
    </sheetView>
  </sheetViews>
  <sheetFormatPr defaultRowHeight="14.25"/>
  <cols>
    <col min="2" max="2" width="7.625" style="56" customWidth="1"/>
    <col min="3" max="3" width="13.75" style="56" bestFit="1" customWidth="1"/>
    <col min="4" max="4" width="5.875" style="56" bestFit="1" customWidth="1"/>
    <col min="5" max="6" width="9.125" style="56" bestFit="1" customWidth="1"/>
    <col min="7" max="7" width="12.875" style="56" bestFit="1" customWidth="1"/>
    <col min="8" max="8" width="6.875" style="56" bestFit="1" customWidth="1"/>
    <col min="9" max="9" width="6.875" style="56" customWidth="1"/>
    <col min="10" max="10" width="11.25" style="56" bestFit="1" customWidth="1"/>
    <col min="11" max="12" width="9.125" style="56" bestFit="1" customWidth="1"/>
    <col min="13" max="13" width="10.125" style="56" bestFit="1" customWidth="1"/>
    <col min="14" max="14" width="9.125" style="56" bestFit="1" customWidth="1"/>
    <col min="15" max="15" width="6.875" style="56" customWidth="1"/>
    <col min="16" max="16" width="7.625" customWidth="1"/>
    <col min="17" max="17" width="13.75" customWidth="1"/>
    <col min="18" max="18" width="5.875" customWidth="1"/>
    <col min="19" max="20" width="9.125" customWidth="1"/>
    <col min="21" max="21" width="12.875" customWidth="1"/>
    <col min="22" max="22" width="12.75" customWidth="1"/>
    <col min="23" max="23" width="6.625" customWidth="1"/>
    <col min="24" max="24" width="11.125" customWidth="1"/>
    <col min="25" max="25" width="13.5" customWidth="1"/>
    <col min="26" max="26" width="7.125" customWidth="1"/>
    <col min="27" max="28" width="9" customWidth="1"/>
    <col min="29" max="29" width="8.5" customWidth="1"/>
    <col min="30" max="30" width="8" customWidth="1"/>
    <col min="31" max="31" width="6.625" customWidth="1"/>
    <col min="32" max="32" width="7.5" customWidth="1"/>
    <col min="33" max="33" width="13.5" bestFit="1" customWidth="1"/>
    <col min="34" max="34" width="5.75" bestFit="1" customWidth="1"/>
    <col min="35" max="35" width="8.125" bestFit="1" customWidth="1"/>
    <col min="36" max="36" width="9" bestFit="1" customWidth="1"/>
    <col min="37" max="37" width="8.5" bestFit="1" customWidth="1"/>
    <col min="38" max="38" width="8" bestFit="1" customWidth="1"/>
    <col min="39" max="39" width="7.125" bestFit="1" customWidth="1"/>
    <col min="40" max="42" width="13.25" customWidth="1"/>
    <col min="43" max="44" width="12.5" customWidth="1"/>
    <col min="45" max="45" width="23.375" customWidth="1"/>
  </cols>
  <sheetData>
    <row r="1" spans="1:45" ht="28.5" customHeight="1" thickBot="1">
      <c r="A1" s="45"/>
      <c r="B1" s="290" t="s">
        <v>989</v>
      </c>
      <c r="C1" s="291"/>
      <c r="D1" s="291"/>
      <c r="E1" s="291"/>
      <c r="F1" s="291"/>
      <c r="G1" s="291"/>
      <c r="H1" s="291"/>
      <c r="I1" s="290" t="s">
        <v>1128</v>
      </c>
      <c r="J1" s="291"/>
      <c r="K1" s="291"/>
      <c r="L1" s="291"/>
      <c r="M1" s="291"/>
      <c r="N1" s="291"/>
      <c r="O1" s="292"/>
      <c r="P1" s="291" t="s">
        <v>1146</v>
      </c>
      <c r="Q1" s="291"/>
      <c r="R1" s="291"/>
      <c r="S1" s="291"/>
      <c r="T1" s="291"/>
      <c r="U1" s="291"/>
      <c r="V1" s="291"/>
      <c r="W1" s="292"/>
      <c r="X1" s="290" t="s">
        <v>1147</v>
      </c>
      <c r="Y1" s="291"/>
      <c r="Z1" s="291"/>
      <c r="AA1" s="291"/>
      <c r="AB1" s="291"/>
      <c r="AC1" s="291"/>
      <c r="AD1" s="291"/>
      <c r="AE1" s="292"/>
      <c r="AF1" s="290" t="s">
        <v>1148</v>
      </c>
      <c r="AG1" s="291"/>
      <c r="AH1" s="291"/>
      <c r="AI1" s="291"/>
      <c r="AJ1" s="291"/>
      <c r="AK1" s="291"/>
      <c r="AL1" s="291"/>
      <c r="AM1" s="292"/>
      <c r="AN1" s="46"/>
      <c r="AO1" s="95"/>
      <c r="AP1" s="101" t="s">
        <v>1106</v>
      </c>
      <c r="AQ1" s="101" t="s">
        <v>1107</v>
      </c>
      <c r="AR1" s="101" t="s">
        <v>1108</v>
      </c>
      <c r="AS1" s="102" t="s">
        <v>1124</v>
      </c>
    </row>
    <row r="2" spans="1:45" ht="165.75" thickBot="1">
      <c r="A2" s="45"/>
      <c r="B2" s="47" t="s">
        <v>1075</v>
      </c>
      <c r="C2" s="48" t="s">
        <v>1072</v>
      </c>
      <c r="D2" s="49" t="s">
        <v>1073</v>
      </c>
      <c r="E2" s="49" t="s">
        <v>40</v>
      </c>
      <c r="F2" s="49" t="s">
        <v>43</v>
      </c>
      <c r="G2" s="49" t="s">
        <v>1074</v>
      </c>
      <c r="H2" s="139" t="s">
        <v>42</v>
      </c>
      <c r="I2" s="52" t="s">
        <v>1075</v>
      </c>
      <c r="J2" s="53" t="s">
        <v>1072</v>
      </c>
      <c r="K2" s="54" t="s">
        <v>1073</v>
      </c>
      <c r="L2" s="54" t="s">
        <v>40</v>
      </c>
      <c r="M2" s="54" t="s">
        <v>43</v>
      </c>
      <c r="N2" s="54" t="s">
        <v>1074</v>
      </c>
      <c r="O2" s="55" t="s">
        <v>42</v>
      </c>
      <c r="P2" s="140" t="s">
        <v>1101</v>
      </c>
      <c r="Q2" s="53" t="s">
        <v>1072</v>
      </c>
      <c r="R2" s="53" t="s">
        <v>1073</v>
      </c>
      <c r="S2" s="54" t="s">
        <v>40</v>
      </c>
      <c r="T2" s="54" t="s">
        <v>43</v>
      </c>
      <c r="U2" s="54" t="s">
        <v>1074</v>
      </c>
      <c r="V2" s="54" t="s">
        <v>42</v>
      </c>
      <c r="W2" s="55" t="s">
        <v>1102</v>
      </c>
      <c r="X2" s="52" t="s">
        <v>1101</v>
      </c>
      <c r="Y2" s="53" t="s">
        <v>1072</v>
      </c>
      <c r="Z2" s="53" t="s">
        <v>1073</v>
      </c>
      <c r="AA2" s="54"/>
      <c r="AB2" s="54" t="s">
        <v>43</v>
      </c>
      <c r="AC2" s="54" t="s">
        <v>1074</v>
      </c>
      <c r="AD2" s="54" t="s">
        <v>42</v>
      </c>
      <c r="AE2" s="55" t="s">
        <v>1102</v>
      </c>
      <c r="AF2" s="52" t="s">
        <v>1101</v>
      </c>
      <c r="AG2" s="53" t="s">
        <v>1072</v>
      </c>
      <c r="AH2" s="53" t="s">
        <v>1073</v>
      </c>
      <c r="AI2" s="54" t="s">
        <v>40</v>
      </c>
      <c r="AJ2" s="54" t="s">
        <v>43</v>
      </c>
      <c r="AK2" s="54" t="s">
        <v>1074</v>
      </c>
      <c r="AL2" s="54" t="s">
        <v>42</v>
      </c>
      <c r="AM2" s="55" t="s">
        <v>1102</v>
      </c>
      <c r="AN2" s="50"/>
      <c r="AO2" s="99" t="s">
        <v>1109</v>
      </c>
      <c r="AP2" s="96" t="s">
        <v>896</v>
      </c>
      <c r="AQ2" s="97" t="s">
        <v>897</v>
      </c>
      <c r="AR2" s="97" t="s">
        <v>896</v>
      </c>
      <c r="AS2" s="98" t="s">
        <v>1152</v>
      </c>
    </row>
    <row r="3" spans="1:45" ht="120.75" thickBot="1">
      <c r="A3" s="293" t="s">
        <v>1109</v>
      </c>
      <c r="B3" s="184" t="s">
        <v>990</v>
      </c>
      <c r="C3" s="185">
        <v>46127</v>
      </c>
      <c r="D3" s="186">
        <v>2026</v>
      </c>
      <c r="E3" s="187">
        <v>1000</v>
      </c>
      <c r="F3" s="187">
        <v>1000</v>
      </c>
      <c r="G3" s="187"/>
      <c r="H3" s="188">
        <v>0</v>
      </c>
      <c r="I3" s="151" t="s">
        <v>990</v>
      </c>
      <c r="J3" s="166">
        <f ca="1">$M$4</f>
        <v>46127</v>
      </c>
      <c r="K3" s="167">
        <f ca="1">YEAR(J3)</f>
        <v>2026</v>
      </c>
      <c r="L3" s="168">
        <f ca="1">ROUND($M$5*$M$6,2)</f>
        <v>1000</v>
      </c>
      <c r="M3" s="168">
        <v>1000</v>
      </c>
      <c r="N3" s="168">
        <v>0</v>
      </c>
      <c r="O3" s="169">
        <v>0</v>
      </c>
      <c r="P3" s="141" t="s">
        <v>990</v>
      </c>
      <c r="Q3" s="58">
        <v>46127</v>
      </c>
      <c r="R3" s="59">
        <v>2026</v>
      </c>
      <c r="S3" s="59">
        <v>1000</v>
      </c>
      <c r="T3" s="59">
        <v>1000</v>
      </c>
      <c r="U3" s="59"/>
      <c r="V3" s="59">
        <v>0</v>
      </c>
      <c r="W3" s="60" t="s">
        <v>1103</v>
      </c>
      <c r="X3" s="116" t="s">
        <v>990</v>
      </c>
      <c r="Y3" s="233">
        <v>46127</v>
      </c>
      <c r="Z3" s="116">
        <v>2026</v>
      </c>
      <c r="AA3" s="116">
        <v>1000</v>
      </c>
      <c r="AB3" s="116">
        <v>1000</v>
      </c>
      <c r="AC3" s="116"/>
      <c r="AD3" s="116">
        <v>0</v>
      </c>
      <c r="AE3" s="116" t="s">
        <v>1103</v>
      </c>
      <c r="AF3" s="57" t="s">
        <v>990</v>
      </c>
      <c r="AG3" s="58">
        <v>46127</v>
      </c>
      <c r="AH3" s="59">
        <v>2026</v>
      </c>
      <c r="AI3" s="59">
        <v>1000</v>
      </c>
      <c r="AJ3" s="59">
        <v>1000</v>
      </c>
      <c r="AK3" s="59"/>
      <c r="AL3" s="59">
        <v>0</v>
      </c>
      <c r="AM3" s="89" t="s">
        <v>1103</v>
      </c>
      <c r="AN3" s="44"/>
      <c r="AO3" s="100" t="s">
        <v>1110</v>
      </c>
      <c r="AP3" s="97" t="s">
        <v>896</v>
      </c>
      <c r="AQ3" s="97" t="s">
        <v>896</v>
      </c>
      <c r="AR3" s="97" t="s">
        <v>896</v>
      </c>
      <c r="AS3" s="98" t="s">
        <v>1153</v>
      </c>
    </row>
    <row r="4" spans="1:45" ht="210.75" thickBot="1">
      <c r="A4" s="294"/>
      <c r="B4" s="189" t="s">
        <v>1076</v>
      </c>
      <c r="C4" s="190">
        <v>46173</v>
      </c>
      <c r="D4" s="191">
        <v>2026</v>
      </c>
      <c r="E4" s="192">
        <v>355.14</v>
      </c>
      <c r="F4" s="192">
        <v>317.64</v>
      </c>
      <c r="G4" s="192"/>
      <c r="H4" s="193">
        <v>37.5</v>
      </c>
      <c r="I4" s="170">
        <v>1</v>
      </c>
      <c r="J4" s="160">
        <f ca="1">EOMONTH($M$4,I4)</f>
        <v>46173</v>
      </c>
      <c r="K4" s="164">
        <f t="shared" ref="K4:K28" ca="1" si="0">YEAR(J4)</f>
        <v>2026</v>
      </c>
      <c r="L4" s="165">
        <f ca="1">ROUND(IF($M$8=0,(($M$5-ROUND($M$5*$M$6,2))-ROUND($M$5*$M$7,2))/($M$9*$M$10),(($M$8/$M$10)*(($M$5-ROUND($M$5*$M$6,2))-ROUND($M$5*$M$7,2)/(1+$M$8/$M$10)^($M$9*$M$10)))/(1-(1+$M$8/$M$10)^(-$M$9*$M$10))),2)</f>
        <v>355.14</v>
      </c>
      <c r="M4" s="165">
        <f ca="1">ROUND(L4-O4,2)</f>
        <v>317.64</v>
      </c>
      <c r="N4" s="165">
        <f>0</f>
        <v>0</v>
      </c>
      <c r="O4" s="171">
        <f ca="1">ROUND(P3*($M$8/$M$10),2)</f>
        <v>37.5</v>
      </c>
      <c r="P4" s="142">
        <v>1</v>
      </c>
      <c r="Q4" s="62">
        <v>46173</v>
      </c>
      <c r="R4" s="63">
        <v>2026</v>
      </c>
      <c r="S4" s="63">
        <v>355.14</v>
      </c>
      <c r="T4" s="63">
        <v>317.64</v>
      </c>
      <c r="U4" s="63"/>
      <c r="V4" s="63">
        <v>37.5</v>
      </c>
      <c r="W4" s="64" t="s">
        <v>1104</v>
      </c>
      <c r="X4" s="116">
        <v>1</v>
      </c>
      <c r="Y4" s="233">
        <v>46173</v>
      </c>
      <c r="Z4" s="116">
        <v>2026</v>
      </c>
      <c r="AA4" s="235">
        <v>354.97</v>
      </c>
      <c r="AB4" s="234">
        <v>317.47000000000003</v>
      </c>
      <c r="AC4" s="116"/>
      <c r="AD4" s="116">
        <v>37.5</v>
      </c>
      <c r="AE4" s="116" t="s">
        <v>1104</v>
      </c>
      <c r="AF4" s="61">
        <v>1</v>
      </c>
      <c r="AG4" s="62">
        <v>46173</v>
      </c>
      <c r="AH4" s="63">
        <v>2026</v>
      </c>
      <c r="AI4" s="63">
        <v>355.14</v>
      </c>
      <c r="AJ4" s="63">
        <v>317.64</v>
      </c>
      <c r="AK4" s="63"/>
      <c r="AL4" s="63">
        <v>37.5</v>
      </c>
      <c r="AM4" s="94" t="s">
        <v>1104</v>
      </c>
      <c r="AN4" s="44"/>
      <c r="AO4" s="100" t="s">
        <v>1123</v>
      </c>
      <c r="AP4" s="97" t="s">
        <v>896</v>
      </c>
      <c r="AQ4" s="97" t="s">
        <v>897</v>
      </c>
      <c r="AR4" s="97" t="s">
        <v>896</v>
      </c>
      <c r="AS4" s="98" t="s">
        <v>1154</v>
      </c>
    </row>
    <row r="5" spans="1:45" ht="60.75" thickBot="1">
      <c r="A5" s="294"/>
      <c r="B5" s="189" t="s">
        <v>1077</v>
      </c>
      <c r="C5" s="190">
        <v>46203</v>
      </c>
      <c r="D5" s="191">
        <v>2026</v>
      </c>
      <c r="E5" s="192">
        <v>355.14</v>
      </c>
      <c r="F5" s="192">
        <v>318.95999999999998</v>
      </c>
      <c r="G5" s="192"/>
      <c r="H5" s="193">
        <v>36.18</v>
      </c>
      <c r="I5" s="170">
        <v>2</v>
      </c>
      <c r="J5" s="160">
        <f t="shared" ref="J5:J26" ca="1" si="1">EOMONTH($M$4,I5)</f>
        <v>46203</v>
      </c>
      <c r="K5" s="164">
        <f t="shared" ca="1" si="0"/>
        <v>2026</v>
      </c>
      <c r="L5" s="165">
        <f t="shared" ref="L5:L26" ca="1" si="2">ROUND(IF($M$8=0,(($M$5-ROUND($M$5*$M$6,2))-ROUND($M$5*$M$7,2))/($M$9*$M$10),(($M$8/$M$10)*(($M$5-ROUND($M$5*$M$6,2))-ROUND($M$5*$M$7,2)/(1+$M$8/$M$10)^($M$9*$M$10)))/(1-(1+$M$8/$M$10)^(-$M$9*$M$10))),2)</f>
        <v>355.14</v>
      </c>
      <c r="M5" s="165">
        <f t="shared" ref="M5:M26" ca="1" si="3">ROUND(L5-O5,2)</f>
        <v>318.95999999999998</v>
      </c>
      <c r="N5" s="165">
        <f>0</f>
        <v>0</v>
      </c>
      <c r="O5" s="171">
        <f t="shared" ref="O5:O26" ca="1" si="4">ROUND(P4*($M$8/$M$10),2)</f>
        <v>36.18</v>
      </c>
      <c r="P5" s="142">
        <v>2</v>
      </c>
      <c r="Q5" s="62">
        <v>46203</v>
      </c>
      <c r="R5" s="63">
        <v>2026</v>
      </c>
      <c r="S5" s="63">
        <v>355.14</v>
      </c>
      <c r="T5" s="63">
        <v>318.95999999999998</v>
      </c>
      <c r="U5" s="63"/>
      <c r="V5" s="63">
        <v>36.18</v>
      </c>
      <c r="W5" s="64" t="s">
        <v>1104</v>
      </c>
      <c r="X5" s="116">
        <v>2</v>
      </c>
      <c r="Y5" s="233">
        <v>46203</v>
      </c>
      <c r="Z5" s="116">
        <v>2026</v>
      </c>
      <c r="AA5" s="235">
        <v>354.97</v>
      </c>
      <c r="AB5" s="234">
        <v>318.79000000000002</v>
      </c>
      <c r="AC5" s="116"/>
      <c r="AD5" s="116">
        <v>36.18</v>
      </c>
      <c r="AE5" s="116" t="s">
        <v>1104</v>
      </c>
      <c r="AF5" s="61">
        <v>2</v>
      </c>
      <c r="AG5" s="62">
        <v>46203</v>
      </c>
      <c r="AH5" s="63">
        <v>2026</v>
      </c>
      <c r="AI5" s="63">
        <v>355.14</v>
      </c>
      <c r="AJ5" s="63">
        <v>318.95999999999998</v>
      </c>
      <c r="AK5" s="63"/>
      <c r="AL5" s="63">
        <v>36.18</v>
      </c>
      <c r="AM5" s="94" t="s">
        <v>1104</v>
      </c>
      <c r="AN5" s="44"/>
      <c r="AO5" s="44"/>
      <c r="AP5" s="44"/>
      <c r="AQ5" s="51"/>
      <c r="AR5" s="51"/>
      <c r="AS5" s="38"/>
    </row>
    <row r="6" spans="1:45" ht="60.75" thickBot="1">
      <c r="A6" s="294"/>
      <c r="B6" s="189" t="s">
        <v>1078</v>
      </c>
      <c r="C6" s="190">
        <v>46234</v>
      </c>
      <c r="D6" s="191">
        <v>2026</v>
      </c>
      <c r="E6" s="192">
        <v>355.14</v>
      </c>
      <c r="F6" s="192">
        <v>320.29000000000002</v>
      </c>
      <c r="G6" s="192"/>
      <c r="H6" s="193">
        <v>34.85</v>
      </c>
      <c r="I6" s="170">
        <v>3</v>
      </c>
      <c r="J6" s="160">
        <f t="shared" ca="1" si="1"/>
        <v>46234</v>
      </c>
      <c r="K6" s="164">
        <f t="shared" ca="1" si="0"/>
        <v>2026</v>
      </c>
      <c r="L6" s="165">
        <f t="shared" ca="1" si="2"/>
        <v>355.14</v>
      </c>
      <c r="M6" s="165">
        <f t="shared" ca="1" si="3"/>
        <v>320.29000000000002</v>
      </c>
      <c r="N6" s="165">
        <f>0</f>
        <v>0</v>
      </c>
      <c r="O6" s="171">
        <f t="shared" ca="1" si="4"/>
        <v>34.85</v>
      </c>
      <c r="P6" s="142">
        <v>3</v>
      </c>
      <c r="Q6" s="62">
        <v>46234</v>
      </c>
      <c r="R6" s="63">
        <v>2026</v>
      </c>
      <c r="S6" s="63">
        <v>355.14</v>
      </c>
      <c r="T6" s="63">
        <v>320.29000000000002</v>
      </c>
      <c r="U6" s="63"/>
      <c r="V6" s="63">
        <v>34.85</v>
      </c>
      <c r="W6" s="64" t="s">
        <v>1104</v>
      </c>
      <c r="X6" s="116">
        <v>3</v>
      </c>
      <c r="Y6" s="233">
        <v>46234</v>
      </c>
      <c r="Z6" s="116">
        <v>2026</v>
      </c>
      <c r="AA6" s="235">
        <v>354.97</v>
      </c>
      <c r="AB6" s="234">
        <v>320.12</v>
      </c>
      <c r="AC6" s="116"/>
      <c r="AD6" s="116">
        <v>34.85</v>
      </c>
      <c r="AE6" s="116" t="s">
        <v>1104</v>
      </c>
      <c r="AF6" s="61">
        <v>3</v>
      </c>
      <c r="AG6" s="62">
        <v>46234</v>
      </c>
      <c r="AH6" s="63">
        <v>2026</v>
      </c>
      <c r="AI6" s="63">
        <v>355.14</v>
      </c>
      <c r="AJ6" s="63">
        <v>320.29000000000002</v>
      </c>
      <c r="AK6" s="63"/>
      <c r="AL6" s="63">
        <v>34.85</v>
      </c>
      <c r="AM6" s="94" t="s">
        <v>1104</v>
      </c>
      <c r="AN6" s="44"/>
      <c r="AO6" s="6"/>
      <c r="AP6" s="6"/>
      <c r="AQ6" s="6"/>
      <c r="AR6" s="6"/>
      <c r="AS6" s="6"/>
    </row>
    <row r="7" spans="1:45" ht="60.75" thickBot="1">
      <c r="A7" s="294"/>
      <c r="B7" s="189" t="s">
        <v>1079</v>
      </c>
      <c r="C7" s="190">
        <v>46265</v>
      </c>
      <c r="D7" s="191">
        <v>2026</v>
      </c>
      <c r="E7" s="192">
        <v>355.14</v>
      </c>
      <c r="F7" s="192">
        <v>321.63</v>
      </c>
      <c r="G7" s="192"/>
      <c r="H7" s="193">
        <v>33.51</v>
      </c>
      <c r="I7" s="170">
        <v>4</v>
      </c>
      <c r="J7" s="160">
        <f t="shared" ca="1" si="1"/>
        <v>46265</v>
      </c>
      <c r="K7" s="164">
        <f t="shared" ca="1" si="0"/>
        <v>2026</v>
      </c>
      <c r="L7" s="165">
        <f t="shared" ca="1" si="2"/>
        <v>355.14</v>
      </c>
      <c r="M7" s="165">
        <f t="shared" ca="1" si="3"/>
        <v>321.63</v>
      </c>
      <c r="N7" s="165">
        <f>0</f>
        <v>0</v>
      </c>
      <c r="O7" s="171">
        <f t="shared" ca="1" si="4"/>
        <v>33.51</v>
      </c>
      <c r="P7" s="142">
        <v>4</v>
      </c>
      <c r="Q7" s="62">
        <v>46265</v>
      </c>
      <c r="R7" s="63">
        <v>2026</v>
      </c>
      <c r="S7" s="63">
        <v>355.14</v>
      </c>
      <c r="T7" s="63">
        <v>321.63</v>
      </c>
      <c r="U7" s="63"/>
      <c r="V7" s="63">
        <v>33.51</v>
      </c>
      <c r="W7" s="64" t="s">
        <v>1104</v>
      </c>
      <c r="X7" s="116">
        <v>4</v>
      </c>
      <c r="Y7" s="233">
        <v>46265</v>
      </c>
      <c r="Z7" s="116">
        <v>2026</v>
      </c>
      <c r="AA7" s="235">
        <v>354.97</v>
      </c>
      <c r="AB7" s="234">
        <v>321.45</v>
      </c>
      <c r="AC7" s="236"/>
      <c r="AD7" s="234">
        <v>33.520000000000003</v>
      </c>
      <c r="AE7" s="116" t="s">
        <v>1104</v>
      </c>
      <c r="AF7" s="61">
        <v>4</v>
      </c>
      <c r="AG7" s="62">
        <v>46265</v>
      </c>
      <c r="AH7" s="63">
        <v>2026</v>
      </c>
      <c r="AI7" s="63">
        <v>355.14</v>
      </c>
      <c r="AJ7" s="63">
        <v>321.63</v>
      </c>
      <c r="AK7" s="63"/>
      <c r="AL7" s="63">
        <v>33.51</v>
      </c>
      <c r="AM7" s="94" t="s">
        <v>1104</v>
      </c>
      <c r="AN7" s="44"/>
      <c r="AO7" s="241"/>
      <c r="AP7" s="241"/>
      <c r="AQ7" s="241"/>
      <c r="AR7" s="241"/>
      <c r="AS7" s="241"/>
    </row>
    <row r="8" spans="1:45" ht="60.75" thickBot="1">
      <c r="A8" s="294"/>
      <c r="B8" s="189" t="s">
        <v>1080</v>
      </c>
      <c r="C8" s="190">
        <v>46295</v>
      </c>
      <c r="D8" s="191">
        <v>2026</v>
      </c>
      <c r="E8" s="192">
        <v>355.14</v>
      </c>
      <c r="F8" s="192">
        <v>322.97000000000003</v>
      </c>
      <c r="G8" s="192"/>
      <c r="H8" s="193">
        <v>32.17</v>
      </c>
      <c r="I8" s="170">
        <v>5</v>
      </c>
      <c r="J8" s="160">
        <f t="shared" ca="1" si="1"/>
        <v>46295</v>
      </c>
      <c r="K8" s="164">
        <f t="shared" ca="1" si="0"/>
        <v>2026</v>
      </c>
      <c r="L8" s="165">
        <f t="shared" ca="1" si="2"/>
        <v>355.14</v>
      </c>
      <c r="M8" s="165">
        <f t="shared" ca="1" si="3"/>
        <v>322.97000000000003</v>
      </c>
      <c r="N8" s="165">
        <f>0</f>
        <v>0</v>
      </c>
      <c r="O8" s="171">
        <f t="shared" ca="1" si="4"/>
        <v>32.17</v>
      </c>
      <c r="P8" s="142">
        <v>5</v>
      </c>
      <c r="Q8" s="62">
        <v>46295</v>
      </c>
      <c r="R8" s="63">
        <v>2026</v>
      </c>
      <c r="S8" s="63">
        <v>355.14</v>
      </c>
      <c r="T8" s="63">
        <v>322.97000000000003</v>
      </c>
      <c r="U8" s="63"/>
      <c r="V8" s="63">
        <v>32.17</v>
      </c>
      <c r="W8" s="64" t="s">
        <v>1104</v>
      </c>
      <c r="X8" s="116">
        <v>5</v>
      </c>
      <c r="Y8" s="233">
        <v>46295</v>
      </c>
      <c r="Z8" s="116">
        <v>2026</v>
      </c>
      <c r="AA8" s="235">
        <v>354.97</v>
      </c>
      <c r="AB8" s="234">
        <v>322.79000000000002</v>
      </c>
      <c r="AC8" s="116"/>
      <c r="AD8" s="234">
        <v>32.18</v>
      </c>
      <c r="AE8" s="116" t="s">
        <v>1104</v>
      </c>
      <c r="AF8" s="61">
        <v>5</v>
      </c>
      <c r="AG8" s="62">
        <v>46295</v>
      </c>
      <c r="AH8" s="63">
        <v>2026</v>
      </c>
      <c r="AI8" s="63">
        <v>355.14</v>
      </c>
      <c r="AJ8" s="63">
        <v>322.97000000000003</v>
      </c>
      <c r="AK8" s="63"/>
      <c r="AL8" s="63">
        <v>32.17</v>
      </c>
      <c r="AM8" s="94" t="s">
        <v>1104</v>
      </c>
      <c r="AN8" s="44"/>
      <c r="AO8" s="241"/>
      <c r="AP8" s="241"/>
      <c r="AQ8" s="241"/>
      <c r="AR8" s="241"/>
      <c r="AS8" s="241"/>
    </row>
    <row r="9" spans="1:45" ht="60.75" thickBot="1">
      <c r="A9" s="294"/>
      <c r="B9" s="189" t="s">
        <v>1081</v>
      </c>
      <c r="C9" s="190">
        <v>46326</v>
      </c>
      <c r="D9" s="191">
        <v>2026</v>
      </c>
      <c r="E9" s="192">
        <v>355.14</v>
      </c>
      <c r="F9" s="192">
        <v>324.31</v>
      </c>
      <c r="G9" s="192"/>
      <c r="H9" s="193">
        <v>30.83</v>
      </c>
      <c r="I9" s="170">
        <v>6</v>
      </c>
      <c r="J9" s="160">
        <f t="shared" ca="1" si="1"/>
        <v>46326</v>
      </c>
      <c r="K9" s="164">
        <f t="shared" ca="1" si="0"/>
        <v>2026</v>
      </c>
      <c r="L9" s="165">
        <f t="shared" ca="1" si="2"/>
        <v>355.14</v>
      </c>
      <c r="M9" s="165">
        <f t="shared" ca="1" si="3"/>
        <v>324.31</v>
      </c>
      <c r="N9" s="165">
        <f>0</f>
        <v>0</v>
      </c>
      <c r="O9" s="171">
        <f t="shared" ca="1" si="4"/>
        <v>30.83</v>
      </c>
      <c r="P9" s="142">
        <v>6</v>
      </c>
      <c r="Q9" s="62">
        <v>46326</v>
      </c>
      <c r="R9" s="63">
        <v>2026</v>
      </c>
      <c r="S9" s="63">
        <v>355.14</v>
      </c>
      <c r="T9" s="63">
        <v>324.31</v>
      </c>
      <c r="U9" s="63"/>
      <c r="V9" s="63">
        <v>30.83</v>
      </c>
      <c r="W9" s="64" t="s">
        <v>1104</v>
      </c>
      <c r="X9" s="116">
        <v>6</v>
      </c>
      <c r="Y9" s="233">
        <v>46326</v>
      </c>
      <c r="Z9" s="116">
        <v>2026</v>
      </c>
      <c r="AA9" s="235">
        <v>354.97</v>
      </c>
      <c r="AB9" s="234">
        <v>324.14</v>
      </c>
      <c r="AC9" s="116"/>
      <c r="AD9" s="116">
        <v>30.83</v>
      </c>
      <c r="AE9" s="116" t="s">
        <v>1104</v>
      </c>
      <c r="AF9" s="61">
        <v>6</v>
      </c>
      <c r="AG9" s="62">
        <v>46326</v>
      </c>
      <c r="AH9" s="63">
        <v>2026</v>
      </c>
      <c r="AI9" s="63">
        <v>355.14</v>
      </c>
      <c r="AJ9" s="63">
        <v>324.31</v>
      </c>
      <c r="AK9" s="63"/>
      <c r="AL9" s="63">
        <v>30.83</v>
      </c>
      <c r="AM9" s="94" t="s">
        <v>1104</v>
      </c>
      <c r="AN9" s="44"/>
      <c r="AO9" s="241"/>
      <c r="AP9" s="241"/>
      <c r="AQ9" s="241"/>
      <c r="AR9" s="241"/>
      <c r="AS9" s="241"/>
    </row>
    <row r="10" spans="1:45" ht="60.75" thickBot="1">
      <c r="A10" s="294"/>
      <c r="B10" s="189" t="s">
        <v>1082</v>
      </c>
      <c r="C10" s="190">
        <v>46356</v>
      </c>
      <c r="D10" s="191">
        <v>2026</v>
      </c>
      <c r="E10" s="192">
        <v>355.14</v>
      </c>
      <c r="F10" s="192">
        <v>325.66000000000003</v>
      </c>
      <c r="G10" s="192"/>
      <c r="H10" s="193">
        <v>29.48</v>
      </c>
      <c r="I10" s="170">
        <v>7</v>
      </c>
      <c r="J10" s="160">
        <f t="shared" ca="1" si="1"/>
        <v>46356</v>
      </c>
      <c r="K10" s="164">
        <f t="shared" ca="1" si="0"/>
        <v>2026</v>
      </c>
      <c r="L10" s="165">
        <f t="shared" ca="1" si="2"/>
        <v>355.14</v>
      </c>
      <c r="M10" s="165">
        <f t="shared" ca="1" si="3"/>
        <v>325.66000000000003</v>
      </c>
      <c r="N10" s="165">
        <f>0</f>
        <v>0</v>
      </c>
      <c r="O10" s="171">
        <f t="shared" ca="1" si="4"/>
        <v>29.48</v>
      </c>
      <c r="P10" s="142">
        <v>7</v>
      </c>
      <c r="Q10" s="62">
        <v>46356</v>
      </c>
      <c r="R10" s="63">
        <v>2026</v>
      </c>
      <c r="S10" s="63">
        <v>355.14</v>
      </c>
      <c r="T10" s="63">
        <v>325.66000000000003</v>
      </c>
      <c r="U10" s="63"/>
      <c r="V10" s="63">
        <v>29.48</v>
      </c>
      <c r="W10" s="64" t="s">
        <v>1104</v>
      </c>
      <c r="X10" s="116">
        <v>7</v>
      </c>
      <c r="Y10" s="233">
        <v>46356</v>
      </c>
      <c r="Z10" s="116">
        <v>2026</v>
      </c>
      <c r="AA10" s="235">
        <v>354.97</v>
      </c>
      <c r="AB10" s="234">
        <v>325.49</v>
      </c>
      <c r="AC10" s="116"/>
      <c r="AD10" s="116">
        <v>29.48</v>
      </c>
      <c r="AE10" s="116" t="s">
        <v>1104</v>
      </c>
      <c r="AF10" s="61">
        <v>7</v>
      </c>
      <c r="AG10" s="62">
        <v>46356</v>
      </c>
      <c r="AH10" s="63">
        <v>2026</v>
      </c>
      <c r="AI10" s="63">
        <v>355.14</v>
      </c>
      <c r="AJ10" s="63">
        <v>325.66000000000003</v>
      </c>
      <c r="AK10" s="63"/>
      <c r="AL10" s="63">
        <v>29.48</v>
      </c>
      <c r="AM10" s="94" t="s">
        <v>1104</v>
      </c>
      <c r="AN10" s="44"/>
      <c r="AO10" s="44"/>
      <c r="AP10" s="44"/>
      <c r="AQ10" s="45"/>
      <c r="AR10" s="45"/>
    </row>
    <row r="11" spans="1:45" ht="60.75" thickBot="1">
      <c r="A11" s="294"/>
      <c r="B11" s="189" t="s">
        <v>1083</v>
      </c>
      <c r="C11" s="190">
        <v>46387</v>
      </c>
      <c r="D11" s="191">
        <v>2026</v>
      </c>
      <c r="E11" s="192">
        <v>355.14</v>
      </c>
      <c r="F11" s="192">
        <v>327.02</v>
      </c>
      <c r="G11" s="192"/>
      <c r="H11" s="193">
        <v>28.12</v>
      </c>
      <c r="I11" s="170">
        <v>8</v>
      </c>
      <c r="J11" s="160">
        <f t="shared" ca="1" si="1"/>
        <v>46387</v>
      </c>
      <c r="K11" s="164">
        <f t="shared" ca="1" si="0"/>
        <v>2026</v>
      </c>
      <c r="L11" s="165">
        <f t="shared" ca="1" si="2"/>
        <v>355.14</v>
      </c>
      <c r="M11" s="165">
        <f t="shared" ca="1" si="3"/>
        <v>327.02</v>
      </c>
      <c r="N11" s="165">
        <f>0</f>
        <v>0</v>
      </c>
      <c r="O11" s="171">
        <f t="shared" ca="1" si="4"/>
        <v>28.12</v>
      </c>
      <c r="P11" s="142">
        <v>8</v>
      </c>
      <c r="Q11" s="62">
        <v>46387</v>
      </c>
      <c r="R11" s="63">
        <v>2026</v>
      </c>
      <c r="S11" s="63">
        <v>355.14</v>
      </c>
      <c r="T11" s="63">
        <v>327.02</v>
      </c>
      <c r="U11" s="63"/>
      <c r="V11" s="63">
        <v>28.12</v>
      </c>
      <c r="W11" s="64" t="s">
        <v>1104</v>
      </c>
      <c r="X11" s="116">
        <v>8</v>
      </c>
      <c r="Y11" s="233">
        <v>46387</v>
      </c>
      <c r="Z11" s="116">
        <v>2026</v>
      </c>
      <c r="AA11" s="235">
        <v>354.97</v>
      </c>
      <c r="AB11" s="234">
        <v>326.85000000000002</v>
      </c>
      <c r="AC11" s="116"/>
      <c r="AD11" s="116">
        <v>28.12</v>
      </c>
      <c r="AE11" s="116" t="s">
        <v>1104</v>
      </c>
      <c r="AF11" s="61">
        <v>8</v>
      </c>
      <c r="AG11" s="62">
        <v>46387</v>
      </c>
      <c r="AH11" s="63">
        <v>2026</v>
      </c>
      <c r="AI11" s="63">
        <v>355.14</v>
      </c>
      <c r="AJ11" s="63">
        <v>327.02</v>
      </c>
      <c r="AK11" s="63"/>
      <c r="AL11" s="63">
        <v>28.12</v>
      </c>
      <c r="AM11" s="94" t="s">
        <v>1104</v>
      </c>
      <c r="AN11" s="44"/>
      <c r="AO11" s="44"/>
      <c r="AP11" s="44"/>
      <c r="AQ11" s="45"/>
      <c r="AR11" s="45"/>
    </row>
    <row r="12" spans="1:45" ht="60.75" thickBot="1">
      <c r="A12" s="294"/>
      <c r="B12" s="189" t="s">
        <v>1084</v>
      </c>
      <c r="C12" s="190">
        <v>46418</v>
      </c>
      <c r="D12" s="191">
        <v>2027</v>
      </c>
      <c r="E12" s="192">
        <v>355.14</v>
      </c>
      <c r="F12" s="192">
        <v>328.38</v>
      </c>
      <c r="G12" s="192"/>
      <c r="H12" s="193">
        <v>26.76</v>
      </c>
      <c r="I12" s="170">
        <v>9</v>
      </c>
      <c r="J12" s="160">
        <f t="shared" ca="1" si="1"/>
        <v>46418</v>
      </c>
      <c r="K12" s="164">
        <f t="shared" ca="1" si="0"/>
        <v>2027</v>
      </c>
      <c r="L12" s="165">
        <f t="shared" ca="1" si="2"/>
        <v>355.14</v>
      </c>
      <c r="M12" s="165">
        <f t="shared" ca="1" si="3"/>
        <v>328.38</v>
      </c>
      <c r="N12" s="165">
        <f>0</f>
        <v>0</v>
      </c>
      <c r="O12" s="171">
        <f t="shared" ca="1" si="4"/>
        <v>26.76</v>
      </c>
      <c r="P12" s="142">
        <v>9</v>
      </c>
      <c r="Q12" s="62">
        <v>46418</v>
      </c>
      <c r="R12" s="63">
        <v>2027</v>
      </c>
      <c r="S12" s="63">
        <v>355.14</v>
      </c>
      <c r="T12" s="63">
        <v>328.38</v>
      </c>
      <c r="U12" s="63"/>
      <c r="V12" s="63">
        <v>26.76</v>
      </c>
      <c r="W12" s="64" t="s">
        <v>1104</v>
      </c>
      <c r="X12" s="116">
        <v>9</v>
      </c>
      <c r="Y12" s="233">
        <v>46418</v>
      </c>
      <c r="Z12" s="116">
        <v>2027</v>
      </c>
      <c r="AA12" s="235">
        <v>354.97</v>
      </c>
      <c r="AB12" s="234">
        <v>328.21</v>
      </c>
      <c r="AC12" s="116"/>
      <c r="AD12" s="116">
        <v>26.76</v>
      </c>
      <c r="AE12" s="116" t="s">
        <v>1104</v>
      </c>
      <c r="AF12" s="61">
        <v>9</v>
      </c>
      <c r="AG12" s="62">
        <v>46418</v>
      </c>
      <c r="AH12" s="63">
        <v>2027</v>
      </c>
      <c r="AI12" s="63">
        <v>355.14</v>
      </c>
      <c r="AJ12" s="63">
        <v>328.38</v>
      </c>
      <c r="AK12" s="63"/>
      <c r="AL12" s="63">
        <v>26.76</v>
      </c>
      <c r="AM12" s="94" t="s">
        <v>1104</v>
      </c>
      <c r="AN12" s="44"/>
      <c r="AO12" s="44"/>
      <c r="AP12" s="44"/>
      <c r="AQ12" s="45"/>
      <c r="AR12" s="45"/>
    </row>
    <row r="13" spans="1:45" ht="60.75" thickBot="1">
      <c r="A13" s="294"/>
      <c r="B13" s="189" t="s">
        <v>1085</v>
      </c>
      <c r="C13" s="190">
        <v>46446</v>
      </c>
      <c r="D13" s="191">
        <v>2027</v>
      </c>
      <c r="E13" s="192">
        <v>355.14</v>
      </c>
      <c r="F13" s="192">
        <v>329.75</v>
      </c>
      <c r="G13" s="192"/>
      <c r="H13" s="193">
        <v>25.39</v>
      </c>
      <c r="I13" s="170">
        <v>10</v>
      </c>
      <c r="J13" s="160">
        <f t="shared" ca="1" si="1"/>
        <v>46446</v>
      </c>
      <c r="K13" s="164">
        <f t="shared" ca="1" si="0"/>
        <v>2027</v>
      </c>
      <c r="L13" s="165">
        <f t="shared" ca="1" si="2"/>
        <v>355.14</v>
      </c>
      <c r="M13" s="165">
        <f t="shared" ca="1" si="3"/>
        <v>329.75</v>
      </c>
      <c r="N13" s="165">
        <f>0</f>
        <v>0</v>
      </c>
      <c r="O13" s="171">
        <f t="shared" ca="1" si="4"/>
        <v>25.39</v>
      </c>
      <c r="P13" s="142">
        <v>10</v>
      </c>
      <c r="Q13" s="62">
        <v>46446</v>
      </c>
      <c r="R13" s="63">
        <v>2027</v>
      </c>
      <c r="S13" s="63">
        <v>355.14</v>
      </c>
      <c r="T13" s="63">
        <v>329.75</v>
      </c>
      <c r="U13" s="63"/>
      <c r="V13" s="63">
        <v>25.39</v>
      </c>
      <c r="W13" s="64" t="s">
        <v>1104</v>
      </c>
      <c r="X13" s="116">
        <v>10</v>
      </c>
      <c r="Y13" s="233">
        <v>46446</v>
      </c>
      <c r="Z13" s="116">
        <v>2027</v>
      </c>
      <c r="AA13" s="235">
        <v>354.97</v>
      </c>
      <c r="AB13" s="234">
        <v>329.58</v>
      </c>
      <c r="AC13" s="116"/>
      <c r="AD13" s="116">
        <v>25.39</v>
      </c>
      <c r="AE13" s="116" t="s">
        <v>1104</v>
      </c>
      <c r="AF13" s="61">
        <v>10</v>
      </c>
      <c r="AG13" s="62">
        <v>46446</v>
      </c>
      <c r="AH13" s="63">
        <v>2027</v>
      </c>
      <c r="AI13" s="63">
        <v>355.14</v>
      </c>
      <c r="AJ13" s="63">
        <v>329.75</v>
      </c>
      <c r="AK13" s="63"/>
      <c r="AL13" s="63">
        <v>25.39</v>
      </c>
      <c r="AM13" s="94" t="s">
        <v>1104</v>
      </c>
      <c r="AN13" s="44"/>
      <c r="AO13" s="44"/>
      <c r="AP13" s="44"/>
      <c r="AQ13" s="45"/>
      <c r="AR13" s="45"/>
    </row>
    <row r="14" spans="1:45" ht="60.75" thickBot="1">
      <c r="A14" s="294"/>
      <c r="B14" s="189" t="s">
        <v>1086</v>
      </c>
      <c r="C14" s="190">
        <v>46477</v>
      </c>
      <c r="D14" s="191">
        <v>2027</v>
      </c>
      <c r="E14" s="192">
        <v>355.14</v>
      </c>
      <c r="F14" s="192">
        <v>331.13</v>
      </c>
      <c r="G14" s="192"/>
      <c r="H14" s="193">
        <v>24.01</v>
      </c>
      <c r="I14" s="170">
        <v>11</v>
      </c>
      <c r="J14" s="160">
        <f t="shared" ca="1" si="1"/>
        <v>46477</v>
      </c>
      <c r="K14" s="164">
        <f t="shared" ca="1" si="0"/>
        <v>2027</v>
      </c>
      <c r="L14" s="165">
        <f t="shared" ca="1" si="2"/>
        <v>355.14</v>
      </c>
      <c r="M14" s="165">
        <f t="shared" ca="1" si="3"/>
        <v>331.13</v>
      </c>
      <c r="N14" s="165">
        <f>0</f>
        <v>0</v>
      </c>
      <c r="O14" s="171">
        <f t="shared" ca="1" si="4"/>
        <v>24.01</v>
      </c>
      <c r="P14" s="142">
        <v>11</v>
      </c>
      <c r="Q14" s="62">
        <v>46477</v>
      </c>
      <c r="R14" s="63">
        <v>2027</v>
      </c>
      <c r="S14" s="63">
        <v>355.14</v>
      </c>
      <c r="T14" s="63">
        <v>331.13</v>
      </c>
      <c r="U14" s="63"/>
      <c r="V14" s="63">
        <v>24.01</v>
      </c>
      <c r="W14" s="64" t="s">
        <v>1104</v>
      </c>
      <c r="X14" s="116">
        <v>11</v>
      </c>
      <c r="Y14" s="233">
        <v>46477</v>
      </c>
      <c r="Z14" s="116">
        <v>2027</v>
      </c>
      <c r="AA14" s="235">
        <v>354.97</v>
      </c>
      <c r="AB14" s="234">
        <v>330.95</v>
      </c>
      <c r="AC14" s="116"/>
      <c r="AD14" s="234">
        <v>24.02</v>
      </c>
      <c r="AE14" s="116" t="s">
        <v>1104</v>
      </c>
      <c r="AF14" s="61">
        <v>11</v>
      </c>
      <c r="AG14" s="62">
        <v>46477</v>
      </c>
      <c r="AH14" s="63">
        <v>2027</v>
      </c>
      <c r="AI14" s="63">
        <v>355.14</v>
      </c>
      <c r="AJ14" s="63">
        <v>331.13</v>
      </c>
      <c r="AK14" s="63"/>
      <c r="AL14" s="63">
        <v>24.01</v>
      </c>
      <c r="AM14" s="94" t="s">
        <v>1104</v>
      </c>
      <c r="AN14" s="44"/>
      <c r="AO14" s="44"/>
      <c r="AP14" s="44"/>
      <c r="AQ14" s="45"/>
      <c r="AR14" s="45"/>
    </row>
    <row r="15" spans="1:45" ht="60.75" thickBot="1">
      <c r="A15" s="294"/>
      <c r="B15" s="189" t="s">
        <v>1087</v>
      </c>
      <c r="C15" s="190">
        <v>46507</v>
      </c>
      <c r="D15" s="191">
        <v>2027</v>
      </c>
      <c r="E15" s="192">
        <v>355.14</v>
      </c>
      <c r="F15" s="192">
        <v>332.51</v>
      </c>
      <c r="G15" s="192"/>
      <c r="H15" s="193">
        <v>22.63</v>
      </c>
      <c r="I15" s="170">
        <v>12</v>
      </c>
      <c r="J15" s="160">
        <f t="shared" ca="1" si="1"/>
        <v>46507</v>
      </c>
      <c r="K15" s="164">
        <f t="shared" ca="1" si="0"/>
        <v>2027</v>
      </c>
      <c r="L15" s="165">
        <f t="shared" ca="1" si="2"/>
        <v>355.14</v>
      </c>
      <c r="M15" s="165">
        <f t="shared" ca="1" si="3"/>
        <v>332.51</v>
      </c>
      <c r="N15" s="165">
        <f>0</f>
        <v>0</v>
      </c>
      <c r="O15" s="171">
        <f t="shared" ca="1" si="4"/>
        <v>22.63</v>
      </c>
      <c r="P15" s="142">
        <v>12</v>
      </c>
      <c r="Q15" s="62">
        <v>46507</v>
      </c>
      <c r="R15" s="63">
        <v>2027</v>
      </c>
      <c r="S15" s="63">
        <v>355.14</v>
      </c>
      <c r="T15" s="63">
        <v>332.51</v>
      </c>
      <c r="U15" s="63"/>
      <c r="V15" s="63">
        <v>22.63</v>
      </c>
      <c r="W15" s="64" t="s">
        <v>1104</v>
      </c>
      <c r="X15" s="116">
        <v>12</v>
      </c>
      <c r="Y15" s="233">
        <v>46507</v>
      </c>
      <c r="Z15" s="116">
        <v>2027</v>
      </c>
      <c r="AA15" s="235">
        <v>354.97</v>
      </c>
      <c r="AB15" s="234">
        <v>332.33</v>
      </c>
      <c r="AC15" s="116"/>
      <c r="AD15" s="234">
        <v>22.64</v>
      </c>
      <c r="AE15" s="116" t="s">
        <v>1104</v>
      </c>
      <c r="AF15" s="61">
        <v>12</v>
      </c>
      <c r="AG15" s="62">
        <v>46507</v>
      </c>
      <c r="AH15" s="63">
        <v>2027</v>
      </c>
      <c r="AI15" s="63">
        <v>355.14</v>
      </c>
      <c r="AJ15" s="63">
        <v>332.51</v>
      </c>
      <c r="AK15" s="63"/>
      <c r="AL15" s="63">
        <v>22.63</v>
      </c>
      <c r="AM15" s="94" t="s">
        <v>1104</v>
      </c>
      <c r="AN15" s="44"/>
      <c r="AO15" s="44"/>
      <c r="AP15" s="44"/>
      <c r="AQ15" s="45"/>
      <c r="AR15" s="45"/>
    </row>
    <row r="16" spans="1:45" ht="60.75" thickBot="1">
      <c r="A16" s="294"/>
      <c r="B16" s="189" t="s">
        <v>1088</v>
      </c>
      <c r="C16" s="190">
        <v>46538</v>
      </c>
      <c r="D16" s="191">
        <v>2027</v>
      </c>
      <c r="E16" s="192">
        <v>355.14</v>
      </c>
      <c r="F16" s="192">
        <v>333.89</v>
      </c>
      <c r="G16" s="192"/>
      <c r="H16" s="193">
        <v>21.25</v>
      </c>
      <c r="I16" s="170">
        <v>13</v>
      </c>
      <c r="J16" s="160">
        <f t="shared" ca="1" si="1"/>
        <v>46538</v>
      </c>
      <c r="K16" s="164">
        <f t="shared" ca="1" si="0"/>
        <v>2027</v>
      </c>
      <c r="L16" s="165">
        <f t="shared" ca="1" si="2"/>
        <v>355.14</v>
      </c>
      <c r="M16" s="165">
        <f t="shared" ca="1" si="3"/>
        <v>333.89</v>
      </c>
      <c r="N16" s="165">
        <f>0</f>
        <v>0</v>
      </c>
      <c r="O16" s="171">
        <f t="shared" ca="1" si="4"/>
        <v>21.25</v>
      </c>
      <c r="P16" s="142">
        <v>13</v>
      </c>
      <c r="Q16" s="62">
        <v>46538</v>
      </c>
      <c r="R16" s="63">
        <v>2027</v>
      </c>
      <c r="S16" s="63">
        <v>355.14</v>
      </c>
      <c r="T16" s="63">
        <v>333.89</v>
      </c>
      <c r="U16" s="63"/>
      <c r="V16" s="63">
        <v>21.25</v>
      </c>
      <c r="W16" s="64" t="s">
        <v>1104</v>
      </c>
      <c r="X16" s="116">
        <v>13</v>
      </c>
      <c r="Y16" s="233">
        <v>46538</v>
      </c>
      <c r="Z16" s="116">
        <v>2027</v>
      </c>
      <c r="AA16" s="235">
        <v>354.97</v>
      </c>
      <c r="AB16" s="234">
        <v>333.71</v>
      </c>
      <c r="AC16" s="116"/>
      <c r="AD16" s="234">
        <v>21.26</v>
      </c>
      <c r="AE16" s="116" t="s">
        <v>1104</v>
      </c>
      <c r="AF16" s="61">
        <v>13</v>
      </c>
      <c r="AG16" s="62">
        <v>46538</v>
      </c>
      <c r="AH16" s="63">
        <v>2027</v>
      </c>
      <c r="AI16" s="63">
        <v>355.14</v>
      </c>
      <c r="AJ16" s="63">
        <v>333.89</v>
      </c>
      <c r="AK16" s="63"/>
      <c r="AL16" s="63">
        <v>21.25</v>
      </c>
      <c r="AM16" s="94" t="s">
        <v>1104</v>
      </c>
      <c r="AN16" s="44"/>
      <c r="AO16" s="44"/>
      <c r="AP16" s="44"/>
      <c r="AQ16" s="45"/>
      <c r="AR16" s="45"/>
    </row>
    <row r="17" spans="1:44" ht="60.75" thickBot="1">
      <c r="A17" s="294"/>
      <c r="B17" s="189" t="s">
        <v>1089</v>
      </c>
      <c r="C17" s="190">
        <v>46568</v>
      </c>
      <c r="D17" s="191">
        <v>2027</v>
      </c>
      <c r="E17" s="192">
        <v>355.14</v>
      </c>
      <c r="F17" s="192">
        <v>335.28</v>
      </c>
      <c r="G17" s="192"/>
      <c r="H17" s="193">
        <v>19.86</v>
      </c>
      <c r="I17" s="170">
        <v>14</v>
      </c>
      <c r="J17" s="160">
        <f t="shared" ca="1" si="1"/>
        <v>46568</v>
      </c>
      <c r="K17" s="164">
        <f t="shared" ca="1" si="0"/>
        <v>2027</v>
      </c>
      <c r="L17" s="165">
        <f t="shared" ca="1" si="2"/>
        <v>355.14</v>
      </c>
      <c r="M17" s="165">
        <f t="shared" ca="1" si="3"/>
        <v>335.28</v>
      </c>
      <c r="N17" s="165">
        <f>0</f>
        <v>0</v>
      </c>
      <c r="O17" s="171">
        <f t="shared" ca="1" si="4"/>
        <v>19.86</v>
      </c>
      <c r="P17" s="142">
        <v>14</v>
      </c>
      <c r="Q17" s="62">
        <v>46568</v>
      </c>
      <c r="R17" s="63">
        <v>2027</v>
      </c>
      <c r="S17" s="63">
        <v>355.14</v>
      </c>
      <c r="T17" s="63">
        <v>335.28</v>
      </c>
      <c r="U17" s="63"/>
      <c r="V17" s="63">
        <v>19.86</v>
      </c>
      <c r="W17" s="64" t="s">
        <v>1104</v>
      </c>
      <c r="X17" s="116">
        <v>14</v>
      </c>
      <c r="Y17" s="233">
        <v>46568</v>
      </c>
      <c r="Z17" s="116">
        <v>2027</v>
      </c>
      <c r="AA17" s="235">
        <v>354.97</v>
      </c>
      <c r="AB17" s="234">
        <v>335.1</v>
      </c>
      <c r="AC17" s="116"/>
      <c r="AD17" s="234">
        <v>19.87</v>
      </c>
      <c r="AE17" s="116" t="s">
        <v>1104</v>
      </c>
      <c r="AF17" s="61">
        <v>14</v>
      </c>
      <c r="AG17" s="62">
        <v>46568</v>
      </c>
      <c r="AH17" s="63">
        <v>2027</v>
      </c>
      <c r="AI17" s="63">
        <v>355.14</v>
      </c>
      <c r="AJ17" s="63">
        <v>335.28</v>
      </c>
      <c r="AK17" s="63"/>
      <c r="AL17" s="63">
        <v>19.86</v>
      </c>
      <c r="AM17" s="94" t="s">
        <v>1104</v>
      </c>
      <c r="AN17" s="44"/>
      <c r="AO17" s="44"/>
      <c r="AP17" s="44"/>
      <c r="AQ17" s="45"/>
      <c r="AR17" s="45"/>
    </row>
    <row r="18" spans="1:44" ht="60.75" thickBot="1">
      <c r="A18" s="294"/>
      <c r="B18" s="189" t="s">
        <v>1090</v>
      </c>
      <c r="C18" s="190">
        <v>46599</v>
      </c>
      <c r="D18" s="191">
        <v>2027</v>
      </c>
      <c r="E18" s="192">
        <v>355.14</v>
      </c>
      <c r="F18" s="192">
        <v>336.68</v>
      </c>
      <c r="G18" s="192"/>
      <c r="H18" s="193">
        <v>18.46</v>
      </c>
      <c r="I18" s="170">
        <v>15</v>
      </c>
      <c r="J18" s="160">
        <f t="shared" ca="1" si="1"/>
        <v>46599</v>
      </c>
      <c r="K18" s="164">
        <f t="shared" ca="1" si="0"/>
        <v>2027</v>
      </c>
      <c r="L18" s="165">
        <f t="shared" ca="1" si="2"/>
        <v>355.14</v>
      </c>
      <c r="M18" s="165">
        <f t="shared" ca="1" si="3"/>
        <v>336.68</v>
      </c>
      <c r="N18" s="165">
        <f>0</f>
        <v>0</v>
      </c>
      <c r="O18" s="171">
        <f t="shared" ca="1" si="4"/>
        <v>18.46</v>
      </c>
      <c r="P18" s="142">
        <v>15</v>
      </c>
      <c r="Q18" s="62">
        <v>46599</v>
      </c>
      <c r="R18" s="63">
        <v>2027</v>
      </c>
      <c r="S18" s="63">
        <v>355.14</v>
      </c>
      <c r="T18" s="63">
        <v>336.68</v>
      </c>
      <c r="U18" s="63"/>
      <c r="V18" s="63">
        <v>18.46</v>
      </c>
      <c r="W18" s="64" t="s">
        <v>1104</v>
      </c>
      <c r="X18" s="116">
        <v>15</v>
      </c>
      <c r="Y18" s="233">
        <v>46599</v>
      </c>
      <c r="Z18" s="116">
        <v>2027</v>
      </c>
      <c r="AA18" s="235">
        <v>354.97</v>
      </c>
      <c r="AB18" s="234">
        <v>336.5</v>
      </c>
      <c r="AC18" s="116"/>
      <c r="AD18" s="234">
        <v>18.47</v>
      </c>
      <c r="AE18" s="116" t="s">
        <v>1104</v>
      </c>
      <c r="AF18" s="61">
        <v>15</v>
      </c>
      <c r="AG18" s="62">
        <v>46599</v>
      </c>
      <c r="AH18" s="63">
        <v>2027</v>
      </c>
      <c r="AI18" s="63">
        <v>355.14</v>
      </c>
      <c r="AJ18" s="63">
        <v>336.68</v>
      </c>
      <c r="AK18" s="63"/>
      <c r="AL18" s="63">
        <v>18.46</v>
      </c>
      <c r="AM18" s="94" t="s">
        <v>1104</v>
      </c>
      <c r="AN18" s="44"/>
      <c r="AO18" s="44"/>
      <c r="AP18" s="44"/>
      <c r="AQ18" s="45"/>
      <c r="AR18" s="45"/>
    </row>
    <row r="19" spans="1:44" ht="60.75" thickBot="1">
      <c r="A19" s="294"/>
      <c r="B19" s="189" t="s">
        <v>1091</v>
      </c>
      <c r="C19" s="190">
        <v>46630</v>
      </c>
      <c r="D19" s="191">
        <v>2027</v>
      </c>
      <c r="E19" s="192">
        <v>355.14</v>
      </c>
      <c r="F19" s="192">
        <v>338.08</v>
      </c>
      <c r="G19" s="192"/>
      <c r="H19" s="193">
        <v>17.059999999999999</v>
      </c>
      <c r="I19" s="170">
        <v>16</v>
      </c>
      <c r="J19" s="160">
        <f t="shared" ca="1" si="1"/>
        <v>46630</v>
      </c>
      <c r="K19" s="164">
        <f t="shared" ca="1" si="0"/>
        <v>2027</v>
      </c>
      <c r="L19" s="165">
        <f t="shared" ca="1" si="2"/>
        <v>355.14</v>
      </c>
      <c r="M19" s="165">
        <f t="shared" ca="1" si="3"/>
        <v>338.08</v>
      </c>
      <c r="N19" s="165">
        <f>0</f>
        <v>0</v>
      </c>
      <c r="O19" s="171">
        <f t="shared" ca="1" si="4"/>
        <v>17.059999999999999</v>
      </c>
      <c r="P19" s="142">
        <v>16</v>
      </c>
      <c r="Q19" s="62">
        <v>46630</v>
      </c>
      <c r="R19" s="63">
        <v>2027</v>
      </c>
      <c r="S19" s="63">
        <v>355.14</v>
      </c>
      <c r="T19" s="63">
        <v>338.08</v>
      </c>
      <c r="U19" s="63"/>
      <c r="V19" s="63">
        <v>17.059999999999999</v>
      </c>
      <c r="W19" s="64" t="s">
        <v>1104</v>
      </c>
      <c r="X19" s="116">
        <v>16</v>
      </c>
      <c r="Y19" s="233">
        <v>46630</v>
      </c>
      <c r="Z19" s="116">
        <v>2027</v>
      </c>
      <c r="AA19" s="235">
        <v>354.97</v>
      </c>
      <c r="AB19" s="234">
        <v>337.9</v>
      </c>
      <c r="AC19" s="116"/>
      <c r="AD19" s="234">
        <v>17.07</v>
      </c>
      <c r="AE19" s="116" t="s">
        <v>1104</v>
      </c>
      <c r="AF19" s="61">
        <v>16</v>
      </c>
      <c r="AG19" s="62">
        <v>46630</v>
      </c>
      <c r="AH19" s="63">
        <v>2027</v>
      </c>
      <c r="AI19" s="63">
        <v>355.14</v>
      </c>
      <c r="AJ19" s="63">
        <v>338.08</v>
      </c>
      <c r="AK19" s="63"/>
      <c r="AL19" s="63">
        <v>17.059999999999999</v>
      </c>
      <c r="AM19" s="94" t="s">
        <v>1104</v>
      </c>
      <c r="AN19" s="44"/>
      <c r="AO19" s="44"/>
      <c r="AP19" s="44"/>
      <c r="AQ19" s="45"/>
      <c r="AR19" s="45"/>
    </row>
    <row r="20" spans="1:44" ht="60.75" thickBot="1">
      <c r="A20" s="294"/>
      <c r="B20" s="189" t="s">
        <v>1092</v>
      </c>
      <c r="C20" s="190">
        <v>46660</v>
      </c>
      <c r="D20" s="191">
        <v>2027</v>
      </c>
      <c r="E20" s="192">
        <v>355.14</v>
      </c>
      <c r="F20" s="192">
        <v>339.49</v>
      </c>
      <c r="G20" s="192"/>
      <c r="H20" s="193">
        <v>15.65</v>
      </c>
      <c r="I20" s="170">
        <v>17</v>
      </c>
      <c r="J20" s="160">
        <f t="shared" ca="1" si="1"/>
        <v>46660</v>
      </c>
      <c r="K20" s="164">
        <f t="shared" ca="1" si="0"/>
        <v>2027</v>
      </c>
      <c r="L20" s="165">
        <f t="shared" ca="1" si="2"/>
        <v>355.14</v>
      </c>
      <c r="M20" s="165">
        <f t="shared" ca="1" si="3"/>
        <v>339.49</v>
      </c>
      <c r="N20" s="165">
        <f>0</f>
        <v>0</v>
      </c>
      <c r="O20" s="171">
        <f t="shared" ca="1" si="4"/>
        <v>15.65</v>
      </c>
      <c r="P20" s="142">
        <v>17</v>
      </c>
      <c r="Q20" s="62">
        <v>46660</v>
      </c>
      <c r="R20" s="63">
        <v>2027</v>
      </c>
      <c r="S20" s="63">
        <v>355.14</v>
      </c>
      <c r="T20" s="63">
        <v>339.49</v>
      </c>
      <c r="U20" s="63"/>
      <c r="V20" s="63">
        <v>15.65</v>
      </c>
      <c r="W20" s="64" t="s">
        <v>1104</v>
      </c>
      <c r="X20" s="116">
        <v>17</v>
      </c>
      <c r="Y20" s="233">
        <v>46660</v>
      </c>
      <c r="Z20" s="116">
        <v>2027</v>
      </c>
      <c r="AA20" s="235">
        <v>354.97</v>
      </c>
      <c r="AB20" s="234">
        <v>339.31</v>
      </c>
      <c r="AC20" s="116"/>
      <c r="AD20" s="234">
        <v>15.66</v>
      </c>
      <c r="AE20" s="116" t="s">
        <v>1104</v>
      </c>
      <c r="AF20" s="61">
        <v>17</v>
      </c>
      <c r="AG20" s="62">
        <v>46660</v>
      </c>
      <c r="AH20" s="63">
        <v>2027</v>
      </c>
      <c r="AI20" s="63">
        <v>355.14</v>
      </c>
      <c r="AJ20" s="63">
        <v>339.49</v>
      </c>
      <c r="AK20" s="63"/>
      <c r="AL20" s="63">
        <v>15.65</v>
      </c>
      <c r="AM20" s="94" t="s">
        <v>1104</v>
      </c>
      <c r="AN20" s="44"/>
      <c r="AO20" s="44"/>
      <c r="AP20" s="44"/>
      <c r="AQ20" s="45"/>
      <c r="AR20" s="45"/>
    </row>
    <row r="21" spans="1:44" ht="60.75" thickBot="1">
      <c r="A21" s="294"/>
      <c r="B21" s="189" t="s">
        <v>1093</v>
      </c>
      <c r="C21" s="190">
        <v>46691</v>
      </c>
      <c r="D21" s="191">
        <v>2027</v>
      </c>
      <c r="E21" s="192">
        <v>355.14</v>
      </c>
      <c r="F21" s="192">
        <v>340.91</v>
      </c>
      <c r="G21" s="192"/>
      <c r="H21" s="193">
        <v>14.23</v>
      </c>
      <c r="I21" s="170">
        <v>18</v>
      </c>
      <c r="J21" s="160">
        <f t="shared" ca="1" si="1"/>
        <v>46691</v>
      </c>
      <c r="K21" s="164">
        <f t="shared" ca="1" si="0"/>
        <v>2027</v>
      </c>
      <c r="L21" s="165">
        <f t="shared" ca="1" si="2"/>
        <v>355.14</v>
      </c>
      <c r="M21" s="165">
        <f t="shared" ca="1" si="3"/>
        <v>340.91</v>
      </c>
      <c r="N21" s="165">
        <f>0</f>
        <v>0</v>
      </c>
      <c r="O21" s="171">
        <f t="shared" ca="1" si="4"/>
        <v>14.23</v>
      </c>
      <c r="P21" s="142">
        <v>18</v>
      </c>
      <c r="Q21" s="62">
        <v>46691</v>
      </c>
      <c r="R21" s="63">
        <v>2027</v>
      </c>
      <c r="S21" s="63">
        <v>355.14</v>
      </c>
      <c r="T21" s="63">
        <v>340.91</v>
      </c>
      <c r="U21" s="63"/>
      <c r="V21" s="63">
        <v>14.23</v>
      </c>
      <c r="W21" s="64" t="s">
        <v>1104</v>
      </c>
      <c r="X21" s="116">
        <v>18</v>
      </c>
      <c r="Y21" s="233">
        <v>46691</v>
      </c>
      <c r="Z21" s="116">
        <v>2027</v>
      </c>
      <c r="AA21" s="235">
        <v>354.97</v>
      </c>
      <c r="AB21" s="234">
        <v>340.72</v>
      </c>
      <c r="AC21" s="116"/>
      <c r="AD21" s="234">
        <v>14.25</v>
      </c>
      <c r="AE21" s="116" t="s">
        <v>1104</v>
      </c>
      <c r="AF21" s="61">
        <v>18</v>
      </c>
      <c r="AG21" s="62">
        <v>46691</v>
      </c>
      <c r="AH21" s="63">
        <v>2027</v>
      </c>
      <c r="AI21" s="63">
        <v>355.14</v>
      </c>
      <c r="AJ21" s="63">
        <v>340.91</v>
      </c>
      <c r="AK21" s="63"/>
      <c r="AL21" s="63">
        <v>14.23</v>
      </c>
      <c r="AM21" s="94" t="s">
        <v>1104</v>
      </c>
      <c r="AN21" s="44"/>
      <c r="AO21" s="44"/>
      <c r="AP21" s="44"/>
      <c r="AQ21" s="45"/>
      <c r="AR21" s="45"/>
    </row>
    <row r="22" spans="1:44" ht="60.75" thickBot="1">
      <c r="A22" s="294"/>
      <c r="B22" s="189" t="s">
        <v>1094</v>
      </c>
      <c r="C22" s="190">
        <v>46721</v>
      </c>
      <c r="D22" s="191">
        <v>2027</v>
      </c>
      <c r="E22" s="192">
        <v>355.14</v>
      </c>
      <c r="F22" s="192">
        <v>342.33</v>
      </c>
      <c r="G22" s="192"/>
      <c r="H22" s="193">
        <v>12.81</v>
      </c>
      <c r="I22" s="170">
        <v>19</v>
      </c>
      <c r="J22" s="160">
        <f t="shared" ca="1" si="1"/>
        <v>46721</v>
      </c>
      <c r="K22" s="164">
        <f t="shared" ca="1" si="0"/>
        <v>2027</v>
      </c>
      <c r="L22" s="165">
        <f t="shared" ca="1" si="2"/>
        <v>355.14</v>
      </c>
      <c r="M22" s="165">
        <f t="shared" ca="1" si="3"/>
        <v>342.33</v>
      </c>
      <c r="N22" s="165">
        <f>0</f>
        <v>0</v>
      </c>
      <c r="O22" s="171">
        <f t="shared" ca="1" si="4"/>
        <v>12.81</v>
      </c>
      <c r="P22" s="142">
        <v>19</v>
      </c>
      <c r="Q22" s="62">
        <v>46721</v>
      </c>
      <c r="R22" s="63">
        <v>2027</v>
      </c>
      <c r="S22" s="63">
        <v>355.14</v>
      </c>
      <c r="T22" s="63">
        <v>342.33</v>
      </c>
      <c r="U22" s="63"/>
      <c r="V22" s="63">
        <v>12.81</v>
      </c>
      <c r="W22" s="64" t="s">
        <v>1104</v>
      </c>
      <c r="X22" s="116">
        <v>19</v>
      </c>
      <c r="Y22" s="233">
        <v>46721</v>
      </c>
      <c r="Z22" s="116">
        <v>2027</v>
      </c>
      <c r="AA22" s="235">
        <v>354.97</v>
      </c>
      <c r="AB22" s="234">
        <v>342.14</v>
      </c>
      <c r="AC22" s="116"/>
      <c r="AD22" s="234">
        <v>12.83</v>
      </c>
      <c r="AE22" s="116" t="s">
        <v>1104</v>
      </c>
      <c r="AF22" s="61">
        <v>19</v>
      </c>
      <c r="AG22" s="62">
        <v>46721</v>
      </c>
      <c r="AH22" s="63">
        <v>2027</v>
      </c>
      <c r="AI22" s="63">
        <v>355.14</v>
      </c>
      <c r="AJ22" s="63">
        <v>342.33</v>
      </c>
      <c r="AK22" s="63"/>
      <c r="AL22" s="63">
        <v>12.81</v>
      </c>
      <c r="AM22" s="94" t="s">
        <v>1104</v>
      </c>
      <c r="AN22" s="44"/>
      <c r="AO22" s="44"/>
      <c r="AP22" s="44"/>
      <c r="AQ22" s="45"/>
      <c r="AR22" s="45"/>
    </row>
    <row r="23" spans="1:44" ht="60.75" thickBot="1">
      <c r="A23" s="294"/>
      <c r="B23" s="189" t="s">
        <v>1095</v>
      </c>
      <c r="C23" s="190">
        <v>46752</v>
      </c>
      <c r="D23" s="191">
        <v>2027</v>
      </c>
      <c r="E23" s="192">
        <v>355.14</v>
      </c>
      <c r="F23" s="192">
        <v>343.75</v>
      </c>
      <c r="G23" s="192"/>
      <c r="H23" s="193">
        <v>11.39</v>
      </c>
      <c r="I23" s="170">
        <v>20</v>
      </c>
      <c r="J23" s="160">
        <f t="shared" ca="1" si="1"/>
        <v>46752</v>
      </c>
      <c r="K23" s="164">
        <f t="shared" ca="1" si="0"/>
        <v>2027</v>
      </c>
      <c r="L23" s="165">
        <f t="shared" ca="1" si="2"/>
        <v>355.14</v>
      </c>
      <c r="M23" s="165">
        <f t="shared" ca="1" si="3"/>
        <v>343.75</v>
      </c>
      <c r="N23" s="165">
        <f>0</f>
        <v>0</v>
      </c>
      <c r="O23" s="171">
        <f t="shared" ca="1" si="4"/>
        <v>11.39</v>
      </c>
      <c r="P23" s="142">
        <v>20</v>
      </c>
      <c r="Q23" s="62">
        <v>46752</v>
      </c>
      <c r="R23" s="63">
        <v>2027</v>
      </c>
      <c r="S23" s="63">
        <v>355.14</v>
      </c>
      <c r="T23" s="63">
        <v>343.75</v>
      </c>
      <c r="U23" s="63"/>
      <c r="V23" s="63">
        <v>11.39</v>
      </c>
      <c r="W23" s="64" t="s">
        <v>1104</v>
      </c>
      <c r="X23" s="116">
        <v>20</v>
      </c>
      <c r="Y23" s="233">
        <v>46752</v>
      </c>
      <c r="Z23" s="116">
        <v>2027</v>
      </c>
      <c r="AA23" s="235">
        <v>354.97</v>
      </c>
      <c r="AB23" s="234">
        <v>343.57</v>
      </c>
      <c r="AC23" s="116"/>
      <c r="AD23" s="234">
        <v>11.4</v>
      </c>
      <c r="AE23" s="116" t="s">
        <v>1104</v>
      </c>
      <c r="AF23" s="61">
        <v>20</v>
      </c>
      <c r="AG23" s="62">
        <v>46752</v>
      </c>
      <c r="AH23" s="63">
        <v>2027</v>
      </c>
      <c r="AI23" s="63">
        <v>355.14</v>
      </c>
      <c r="AJ23" s="63">
        <v>343.75</v>
      </c>
      <c r="AK23" s="63"/>
      <c r="AL23" s="63">
        <v>11.39</v>
      </c>
      <c r="AM23" s="94" t="s">
        <v>1104</v>
      </c>
      <c r="AN23" s="44"/>
      <c r="AO23" s="44"/>
      <c r="AP23" s="44"/>
      <c r="AQ23" s="45"/>
      <c r="AR23" s="45"/>
    </row>
    <row r="24" spans="1:44" ht="60.75" thickBot="1">
      <c r="A24" s="294"/>
      <c r="B24" s="189" t="s">
        <v>1096</v>
      </c>
      <c r="C24" s="190">
        <v>46783</v>
      </c>
      <c r="D24" s="191">
        <v>2028</v>
      </c>
      <c r="E24" s="192">
        <v>355.14</v>
      </c>
      <c r="F24" s="192">
        <v>345.18</v>
      </c>
      <c r="G24" s="192"/>
      <c r="H24" s="193">
        <v>9.9600000000000009</v>
      </c>
      <c r="I24" s="170">
        <v>21</v>
      </c>
      <c r="J24" s="160">
        <f t="shared" ca="1" si="1"/>
        <v>46783</v>
      </c>
      <c r="K24" s="164">
        <f t="shared" ca="1" si="0"/>
        <v>2028</v>
      </c>
      <c r="L24" s="165">
        <f t="shared" ca="1" si="2"/>
        <v>355.14</v>
      </c>
      <c r="M24" s="165">
        <f t="shared" ca="1" si="3"/>
        <v>345.18</v>
      </c>
      <c r="N24" s="165">
        <f>0</f>
        <v>0</v>
      </c>
      <c r="O24" s="171">
        <f t="shared" ca="1" si="4"/>
        <v>9.9600000000000009</v>
      </c>
      <c r="P24" s="142">
        <v>21</v>
      </c>
      <c r="Q24" s="62">
        <v>46783</v>
      </c>
      <c r="R24" s="63">
        <v>2028</v>
      </c>
      <c r="S24" s="63">
        <v>355.14</v>
      </c>
      <c r="T24" s="63">
        <v>345.18</v>
      </c>
      <c r="U24" s="63"/>
      <c r="V24" s="63">
        <v>9.9600000000000009</v>
      </c>
      <c r="W24" s="64" t="s">
        <v>1104</v>
      </c>
      <c r="X24" s="116">
        <v>21</v>
      </c>
      <c r="Y24" s="233">
        <v>46783</v>
      </c>
      <c r="Z24" s="116">
        <v>2028</v>
      </c>
      <c r="AA24" s="235">
        <v>354.97</v>
      </c>
      <c r="AB24" s="234">
        <v>345</v>
      </c>
      <c r="AC24" s="116"/>
      <c r="AD24" s="234">
        <v>9.9700000000000006</v>
      </c>
      <c r="AE24" s="116" t="s">
        <v>1104</v>
      </c>
      <c r="AF24" s="61">
        <v>21</v>
      </c>
      <c r="AG24" s="62">
        <v>46783</v>
      </c>
      <c r="AH24" s="63">
        <v>2028</v>
      </c>
      <c r="AI24" s="63">
        <v>355.14</v>
      </c>
      <c r="AJ24" s="63">
        <v>345.18</v>
      </c>
      <c r="AK24" s="63"/>
      <c r="AL24" s="63">
        <v>9.9600000000000009</v>
      </c>
      <c r="AM24" s="94" t="s">
        <v>1104</v>
      </c>
      <c r="AN24" s="44"/>
      <c r="AO24" s="44"/>
      <c r="AP24" s="44"/>
      <c r="AQ24" s="45"/>
      <c r="AR24" s="45"/>
    </row>
    <row r="25" spans="1:44" ht="60.75" thickBot="1">
      <c r="A25" s="294"/>
      <c r="B25" s="189" t="s">
        <v>1097</v>
      </c>
      <c r="C25" s="190">
        <v>46812</v>
      </c>
      <c r="D25" s="191">
        <v>2028</v>
      </c>
      <c r="E25" s="192">
        <v>355.14</v>
      </c>
      <c r="F25" s="192">
        <v>346.62</v>
      </c>
      <c r="G25" s="192"/>
      <c r="H25" s="193">
        <v>8.52</v>
      </c>
      <c r="I25" s="170">
        <v>22</v>
      </c>
      <c r="J25" s="160">
        <f t="shared" ca="1" si="1"/>
        <v>46812</v>
      </c>
      <c r="K25" s="164">
        <f t="shared" ca="1" si="0"/>
        <v>2028</v>
      </c>
      <c r="L25" s="165">
        <f t="shared" ca="1" si="2"/>
        <v>355.14</v>
      </c>
      <c r="M25" s="165">
        <f t="shared" ca="1" si="3"/>
        <v>346.62</v>
      </c>
      <c r="N25" s="165">
        <f>0</f>
        <v>0</v>
      </c>
      <c r="O25" s="171">
        <f t="shared" ca="1" si="4"/>
        <v>8.52</v>
      </c>
      <c r="P25" s="142">
        <v>22</v>
      </c>
      <c r="Q25" s="62">
        <v>46812</v>
      </c>
      <c r="R25" s="63">
        <v>2028</v>
      </c>
      <c r="S25" s="63">
        <v>355.14</v>
      </c>
      <c r="T25" s="63">
        <v>346.62</v>
      </c>
      <c r="U25" s="63"/>
      <c r="V25" s="63">
        <v>8.52</v>
      </c>
      <c r="W25" s="64" t="s">
        <v>1104</v>
      </c>
      <c r="X25" s="116">
        <v>22</v>
      </c>
      <c r="Y25" s="233">
        <v>46812</v>
      </c>
      <c r="Z25" s="116">
        <v>2028</v>
      </c>
      <c r="AA25" s="235">
        <v>354.97</v>
      </c>
      <c r="AB25" s="234">
        <v>346.44</v>
      </c>
      <c r="AC25" s="116"/>
      <c r="AD25" s="234">
        <v>8.5299999999999994</v>
      </c>
      <c r="AE25" s="116" t="s">
        <v>1104</v>
      </c>
      <c r="AF25" s="61">
        <v>22</v>
      </c>
      <c r="AG25" s="62">
        <v>46812</v>
      </c>
      <c r="AH25" s="63">
        <v>2028</v>
      </c>
      <c r="AI25" s="63">
        <v>355.14</v>
      </c>
      <c r="AJ25" s="63">
        <v>346.62</v>
      </c>
      <c r="AK25" s="63"/>
      <c r="AL25" s="63">
        <v>8.52</v>
      </c>
      <c r="AM25" s="94" t="s">
        <v>1104</v>
      </c>
      <c r="AN25" s="44"/>
      <c r="AO25" s="44"/>
      <c r="AP25" s="44"/>
      <c r="AQ25" s="45"/>
      <c r="AR25" s="45"/>
    </row>
    <row r="26" spans="1:44" ht="60.75" thickBot="1">
      <c r="A26" s="294"/>
      <c r="B26" s="189" t="s">
        <v>1098</v>
      </c>
      <c r="C26" s="190">
        <v>46843</v>
      </c>
      <c r="D26" s="191">
        <v>2028</v>
      </c>
      <c r="E26" s="192">
        <v>355.14</v>
      </c>
      <c r="F26" s="192">
        <v>348.07</v>
      </c>
      <c r="G26" s="192"/>
      <c r="H26" s="193">
        <v>7.07</v>
      </c>
      <c r="I26" s="170">
        <v>23</v>
      </c>
      <c r="J26" s="160">
        <f t="shared" ca="1" si="1"/>
        <v>46843</v>
      </c>
      <c r="K26" s="164">
        <f t="shared" ca="1" si="0"/>
        <v>2028</v>
      </c>
      <c r="L26" s="165">
        <f t="shared" ca="1" si="2"/>
        <v>355.14</v>
      </c>
      <c r="M26" s="165">
        <f t="shared" ca="1" si="3"/>
        <v>348.07</v>
      </c>
      <c r="N26" s="165">
        <f>0</f>
        <v>0</v>
      </c>
      <c r="O26" s="171">
        <f t="shared" ca="1" si="4"/>
        <v>7.07</v>
      </c>
      <c r="P26" s="142">
        <v>23</v>
      </c>
      <c r="Q26" s="62">
        <v>46843</v>
      </c>
      <c r="R26" s="63">
        <v>2028</v>
      </c>
      <c r="S26" s="63">
        <v>355.14</v>
      </c>
      <c r="T26" s="63">
        <v>348.07</v>
      </c>
      <c r="U26" s="63"/>
      <c r="V26" s="63">
        <v>7.07</v>
      </c>
      <c r="W26" s="64" t="s">
        <v>1104</v>
      </c>
      <c r="X26" s="116">
        <v>23</v>
      </c>
      <c r="Y26" s="233">
        <v>46843</v>
      </c>
      <c r="Z26" s="116">
        <v>2028</v>
      </c>
      <c r="AA26" s="235">
        <v>354.97</v>
      </c>
      <c r="AB26" s="235">
        <v>347.88</v>
      </c>
      <c r="AC26" s="116"/>
      <c r="AD26" s="234">
        <v>7.09</v>
      </c>
      <c r="AE26" s="116" t="s">
        <v>1104</v>
      </c>
      <c r="AF26" s="61">
        <v>23</v>
      </c>
      <c r="AG26" s="62">
        <v>46843</v>
      </c>
      <c r="AH26" s="63">
        <v>2028</v>
      </c>
      <c r="AI26" s="63">
        <v>355.14</v>
      </c>
      <c r="AJ26" s="63">
        <v>348.07</v>
      </c>
      <c r="AK26" s="63"/>
      <c r="AL26" s="63">
        <v>7.07</v>
      </c>
      <c r="AM26" s="94" t="s">
        <v>1104</v>
      </c>
      <c r="AN26" s="44"/>
      <c r="AO26" s="44"/>
      <c r="AP26" s="44"/>
      <c r="AQ26" s="45"/>
      <c r="AR26" s="45"/>
    </row>
    <row r="27" spans="1:44" ht="60.75" thickBot="1">
      <c r="A27" s="294"/>
      <c r="B27" s="189" t="s">
        <v>1099</v>
      </c>
      <c r="C27" s="190">
        <v>46873</v>
      </c>
      <c r="D27" s="191">
        <v>2028</v>
      </c>
      <c r="E27" s="192">
        <v>355.09</v>
      </c>
      <c r="F27" s="192">
        <v>349.47</v>
      </c>
      <c r="G27" s="192"/>
      <c r="H27" s="193">
        <v>5.62</v>
      </c>
      <c r="I27" s="170">
        <v>24</v>
      </c>
      <c r="J27" s="160">
        <f ca="1">EOMONTH($M$4,I27)</f>
        <v>46873</v>
      </c>
      <c r="K27" s="164">
        <f t="shared" ca="1" si="0"/>
        <v>2028</v>
      </c>
      <c r="L27" s="165">
        <f ca="1">ROUND(M27+O27,2)</f>
        <v>355.09</v>
      </c>
      <c r="M27" s="165">
        <f ca="1">ROUND(P26-ROUND($M$5*$M$7,2),2)</f>
        <v>349.47</v>
      </c>
      <c r="N27" s="165">
        <f>0</f>
        <v>0</v>
      </c>
      <c r="O27" s="171">
        <f ca="1">ROUND(P26*($M$8/$M$10),2)</f>
        <v>5.62</v>
      </c>
      <c r="P27" s="142">
        <v>24</v>
      </c>
      <c r="Q27" s="62">
        <v>46873</v>
      </c>
      <c r="R27" s="63">
        <v>2028</v>
      </c>
      <c r="S27" s="63">
        <v>355.09</v>
      </c>
      <c r="T27" s="63">
        <v>349.47</v>
      </c>
      <c r="U27" s="63"/>
      <c r="V27" s="63">
        <v>5.62</v>
      </c>
      <c r="W27" s="64" t="s">
        <v>1104</v>
      </c>
      <c r="X27" s="116">
        <v>24</v>
      </c>
      <c r="Y27" s="233">
        <v>46873</v>
      </c>
      <c r="Z27" s="116">
        <v>2028</v>
      </c>
      <c r="AA27" s="235">
        <v>359.2</v>
      </c>
      <c r="AB27" s="235">
        <v>353.56</v>
      </c>
      <c r="AC27" s="116"/>
      <c r="AD27" s="234">
        <v>5.64</v>
      </c>
      <c r="AE27" s="116" t="s">
        <v>1104</v>
      </c>
      <c r="AF27" s="61">
        <v>24</v>
      </c>
      <c r="AG27" s="62">
        <v>46873</v>
      </c>
      <c r="AH27" s="63">
        <v>2028</v>
      </c>
      <c r="AI27" s="63">
        <v>355.09</v>
      </c>
      <c r="AJ27" s="63">
        <v>349.47</v>
      </c>
      <c r="AK27" s="63"/>
      <c r="AL27" s="63">
        <v>5.62</v>
      </c>
      <c r="AM27" s="94" t="s">
        <v>1104</v>
      </c>
      <c r="AN27" s="44"/>
      <c r="AO27" s="44"/>
      <c r="AP27" s="44"/>
      <c r="AQ27" s="45"/>
      <c r="AR27" s="45"/>
    </row>
    <row r="28" spans="1:44" ht="75.75" thickBot="1">
      <c r="A28" s="295"/>
      <c r="B28" s="194" t="s">
        <v>1100</v>
      </c>
      <c r="C28" s="195">
        <v>46873</v>
      </c>
      <c r="D28" s="196">
        <v>2028</v>
      </c>
      <c r="E28" s="197">
        <v>1000</v>
      </c>
      <c r="F28" s="197">
        <v>0</v>
      </c>
      <c r="G28" s="197">
        <v>1000</v>
      </c>
      <c r="H28" s="198">
        <v>0</v>
      </c>
      <c r="I28" s="150" t="s">
        <v>1074</v>
      </c>
      <c r="J28" s="172">
        <f ca="1">EOMONTH($M$4,I27)</f>
        <v>46873</v>
      </c>
      <c r="K28" s="173">
        <f t="shared" ca="1" si="0"/>
        <v>2028</v>
      </c>
      <c r="L28" s="174">
        <v>1000</v>
      </c>
      <c r="M28" s="174">
        <f>0</f>
        <v>0</v>
      </c>
      <c r="N28" s="165">
        <f ca="1">ROUND($M$5*$M$7,2)</f>
        <v>1000</v>
      </c>
      <c r="O28" s="175">
        <f>0</f>
        <v>0</v>
      </c>
      <c r="P28" s="143" t="s">
        <v>1100</v>
      </c>
      <c r="Q28" s="66">
        <v>46873</v>
      </c>
      <c r="R28" s="67">
        <v>2028</v>
      </c>
      <c r="S28" s="67">
        <v>1000</v>
      </c>
      <c r="T28" s="67">
        <v>0</v>
      </c>
      <c r="U28" s="67">
        <v>1000</v>
      </c>
      <c r="V28" s="67">
        <v>0</v>
      </c>
      <c r="W28" s="68" t="s">
        <v>1105</v>
      </c>
      <c r="X28" s="116" t="s">
        <v>1100</v>
      </c>
      <c r="Y28" s="233">
        <v>46873</v>
      </c>
      <c r="Z28" s="116">
        <v>2028</v>
      </c>
      <c r="AA28" s="116">
        <v>1000</v>
      </c>
      <c r="AB28" s="116">
        <v>0</v>
      </c>
      <c r="AC28" s="116">
        <v>1000</v>
      </c>
      <c r="AD28" s="116">
        <v>0</v>
      </c>
      <c r="AE28" s="116" t="s">
        <v>1105</v>
      </c>
      <c r="AF28" s="65" t="s">
        <v>1100</v>
      </c>
      <c r="AG28" s="66">
        <v>46873</v>
      </c>
      <c r="AH28" s="67">
        <v>2028</v>
      </c>
      <c r="AI28" s="67">
        <v>1000</v>
      </c>
      <c r="AJ28" s="67">
        <v>0</v>
      </c>
      <c r="AK28" s="67">
        <v>1000</v>
      </c>
      <c r="AL28" s="67">
        <v>0</v>
      </c>
      <c r="AM28" s="107" t="s">
        <v>1105</v>
      </c>
      <c r="AN28" s="44"/>
      <c r="AO28" s="44"/>
      <c r="AP28" s="44"/>
      <c r="AQ28" s="45"/>
      <c r="AR28" s="45"/>
    </row>
    <row r="29" spans="1:44" ht="79.5" thickBot="1">
      <c r="A29" s="296" t="s">
        <v>1110</v>
      </c>
      <c r="B29" s="199" t="s">
        <v>990</v>
      </c>
      <c r="C29" s="200">
        <v>46127</v>
      </c>
      <c r="D29" s="201">
        <v>2026</v>
      </c>
      <c r="E29" s="202">
        <v>2000</v>
      </c>
      <c r="F29" s="202">
        <v>2000</v>
      </c>
      <c r="G29" s="202"/>
      <c r="H29" s="203">
        <v>0</v>
      </c>
      <c r="I29" s="152" t="s">
        <v>990</v>
      </c>
      <c r="J29" s="176">
        <v>46127</v>
      </c>
      <c r="K29" s="178">
        <v>2026</v>
      </c>
      <c r="L29" s="153">
        <v>2000</v>
      </c>
      <c r="M29" s="153">
        <v>2000</v>
      </c>
      <c r="N29" s="153">
        <v>0</v>
      </c>
      <c r="O29" s="154">
        <v>0</v>
      </c>
      <c r="P29" s="144" t="s">
        <v>990</v>
      </c>
      <c r="Q29" s="70">
        <v>46127</v>
      </c>
      <c r="R29" s="71">
        <v>2026</v>
      </c>
      <c r="S29" s="71">
        <v>2000</v>
      </c>
      <c r="T29" s="71">
        <v>2000</v>
      </c>
      <c r="U29" s="59"/>
      <c r="V29" s="71">
        <v>0</v>
      </c>
      <c r="W29" s="72" t="s">
        <v>1103</v>
      </c>
      <c r="X29" s="108" t="s">
        <v>990</v>
      </c>
      <c r="Y29" s="110">
        <v>46127</v>
      </c>
      <c r="Z29" s="117">
        <v>2026</v>
      </c>
      <c r="AA29" s="117">
        <v>2000</v>
      </c>
      <c r="AB29" s="117">
        <v>2000</v>
      </c>
      <c r="AC29" s="115"/>
      <c r="AD29" s="112">
        <v>0</v>
      </c>
      <c r="AE29" s="113" t="s">
        <v>1103</v>
      </c>
      <c r="AF29" s="69" t="s">
        <v>990</v>
      </c>
      <c r="AG29" s="70">
        <v>46127</v>
      </c>
      <c r="AH29" s="71">
        <v>2026</v>
      </c>
      <c r="AI29" s="71">
        <v>2000</v>
      </c>
      <c r="AJ29" s="71">
        <v>2000</v>
      </c>
      <c r="AK29" s="59"/>
      <c r="AL29" s="71">
        <v>0</v>
      </c>
      <c r="AM29" s="72" t="s">
        <v>1103</v>
      </c>
      <c r="AN29" s="45"/>
      <c r="AO29" s="45"/>
      <c r="AP29" s="45"/>
      <c r="AQ29" s="45"/>
      <c r="AR29" s="45"/>
    </row>
    <row r="30" spans="1:44" ht="63.75" thickBot="1">
      <c r="A30" s="297"/>
      <c r="B30" s="189" t="s">
        <v>1076</v>
      </c>
      <c r="C30" s="190">
        <v>46173</v>
      </c>
      <c r="D30" s="191">
        <v>2026</v>
      </c>
      <c r="E30" s="192">
        <v>583.33000000000004</v>
      </c>
      <c r="F30" s="192">
        <v>583.33000000000004</v>
      </c>
      <c r="G30" s="192"/>
      <c r="H30" s="193">
        <v>0</v>
      </c>
      <c r="I30" s="170">
        <v>1</v>
      </c>
      <c r="J30" s="177">
        <v>46173</v>
      </c>
      <c r="K30" s="164">
        <v>2026</v>
      </c>
      <c r="L30" s="148">
        <v>583.33000000000004</v>
      </c>
      <c r="M30" s="148">
        <v>583.33000000000004</v>
      </c>
      <c r="N30" s="148">
        <v>0</v>
      </c>
      <c r="O30" s="149">
        <v>0</v>
      </c>
      <c r="P30" s="145">
        <v>1</v>
      </c>
      <c r="Q30" s="74">
        <v>46173</v>
      </c>
      <c r="R30" s="75">
        <v>2026</v>
      </c>
      <c r="S30" s="75">
        <v>583.33000000000004</v>
      </c>
      <c r="T30" s="75">
        <v>583.33000000000004</v>
      </c>
      <c r="U30" s="63"/>
      <c r="V30" s="75">
        <v>0</v>
      </c>
      <c r="W30" s="76" t="s">
        <v>1104</v>
      </c>
      <c r="X30" s="109">
        <v>1</v>
      </c>
      <c r="Y30" s="111">
        <v>46173</v>
      </c>
      <c r="Z30" s="118">
        <v>2026</v>
      </c>
      <c r="AA30" s="118">
        <v>583.33000000000004</v>
      </c>
      <c r="AB30" s="118">
        <v>583.33000000000004</v>
      </c>
      <c r="AC30" s="116"/>
      <c r="AD30" s="114">
        <v>0</v>
      </c>
      <c r="AE30" s="113" t="s">
        <v>1104</v>
      </c>
      <c r="AF30" s="73">
        <v>1</v>
      </c>
      <c r="AG30" s="74">
        <v>46173</v>
      </c>
      <c r="AH30" s="75">
        <v>2026</v>
      </c>
      <c r="AI30" s="75">
        <v>583.33000000000004</v>
      </c>
      <c r="AJ30" s="75">
        <v>583.33000000000004</v>
      </c>
      <c r="AK30" s="63"/>
      <c r="AL30" s="75">
        <v>0</v>
      </c>
      <c r="AM30" s="76" t="s">
        <v>1104</v>
      </c>
      <c r="AN30" s="45"/>
      <c r="AO30" s="45"/>
      <c r="AP30" s="45"/>
      <c r="AQ30" s="45"/>
      <c r="AR30" s="45"/>
    </row>
    <row r="31" spans="1:44" ht="63.75" thickBot="1">
      <c r="A31" s="297"/>
      <c r="B31" s="189" t="s">
        <v>1077</v>
      </c>
      <c r="C31" s="190">
        <v>46203</v>
      </c>
      <c r="D31" s="191">
        <v>2026</v>
      </c>
      <c r="E31" s="192">
        <v>583.33000000000004</v>
      </c>
      <c r="F31" s="192">
        <v>583.33000000000004</v>
      </c>
      <c r="G31" s="192"/>
      <c r="H31" s="193">
        <v>0</v>
      </c>
      <c r="I31" s="170">
        <v>2</v>
      </c>
      <c r="J31" s="177">
        <v>46203</v>
      </c>
      <c r="K31" s="164">
        <v>2026</v>
      </c>
      <c r="L31" s="148">
        <v>583.33000000000004</v>
      </c>
      <c r="M31" s="148">
        <v>583.33000000000004</v>
      </c>
      <c r="N31" s="148">
        <v>0</v>
      </c>
      <c r="O31" s="149">
        <v>0</v>
      </c>
      <c r="P31" s="145">
        <v>2</v>
      </c>
      <c r="Q31" s="74">
        <v>46203</v>
      </c>
      <c r="R31" s="75">
        <v>2026</v>
      </c>
      <c r="S31" s="75">
        <v>583.33000000000004</v>
      </c>
      <c r="T31" s="75">
        <v>583.33000000000004</v>
      </c>
      <c r="U31" s="63"/>
      <c r="V31" s="75">
        <v>0</v>
      </c>
      <c r="W31" s="76" t="s">
        <v>1104</v>
      </c>
      <c r="X31" s="109">
        <v>2</v>
      </c>
      <c r="Y31" s="111">
        <v>46203</v>
      </c>
      <c r="Z31" s="118">
        <v>2026</v>
      </c>
      <c r="AA31" s="118">
        <v>583.33000000000004</v>
      </c>
      <c r="AB31" s="118">
        <v>583.33000000000004</v>
      </c>
      <c r="AC31" s="116"/>
      <c r="AD31" s="114">
        <v>0</v>
      </c>
      <c r="AE31" s="113" t="s">
        <v>1104</v>
      </c>
      <c r="AF31" s="73">
        <v>2</v>
      </c>
      <c r="AG31" s="74">
        <v>46203</v>
      </c>
      <c r="AH31" s="75">
        <v>2026</v>
      </c>
      <c r="AI31" s="75">
        <v>583.33000000000004</v>
      </c>
      <c r="AJ31" s="75">
        <v>583.33000000000004</v>
      </c>
      <c r="AK31" s="63"/>
      <c r="AL31" s="75">
        <v>0</v>
      </c>
      <c r="AM31" s="76" t="s">
        <v>1104</v>
      </c>
      <c r="AN31" s="45"/>
      <c r="AO31" s="45"/>
      <c r="AP31" s="45"/>
      <c r="AQ31" s="45"/>
      <c r="AR31" s="45"/>
    </row>
    <row r="32" spans="1:44" ht="63.75" thickBot="1">
      <c r="A32" s="297"/>
      <c r="B32" s="189" t="s">
        <v>1078</v>
      </c>
      <c r="C32" s="190">
        <v>46234</v>
      </c>
      <c r="D32" s="191">
        <v>2026</v>
      </c>
      <c r="E32" s="192">
        <v>583.33000000000004</v>
      </c>
      <c r="F32" s="192">
        <v>583.33000000000004</v>
      </c>
      <c r="G32" s="192"/>
      <c r="H32" s="193">
        <v>0</v>
      </c>
      <c r="I32" s="170">
        <v>3</v>
      </c>
      <c r="J32" s="177">
        <v>46234</v>
      </c>
      <c r="K32" s="164">
        <v>2026</v>
      </c>
      <c r="L32" s="148">
        <v>583.33000000000004</v>
      </c>
      <c r="M32" s="148">
        <v>583.33000000000004</v>
      </c>
      <c r="N32" s="148">
        <v>0</v>
      </c>
      <c r="O32" s="149">
        <v>0</v>
      </c>
      <c r="P32" s="145">
        <v>3</v>
      </c>
      <c r="Q32" s="74">
        <v>46234</v>
      </c>
      <c r="R32" s="75">
        <v>2026</v>
      </c>
      <c r="S32" s="75">
        <v>583.33000000000004</v>
      </c>
      <c r="T32" s="75">
        <v>583.33000000000004</v>
      </c>
      <c r="U32" s="63"/>
      <c r="V32" s="75">
        <v>0</v>
      </c>
      <c r="W32" s="76" t="s">
        <v>1104</v>
      </c>
      <c r="X32" s="109">
        <v>3</v>
      </c>
      <c r="Y32" s="111">
        <v>46234</v>
      </c>
      <c r="Z32" s="118">
        <v>2026</v>
      </c>
      <c r="AA32" s="118">
        <v>583.33000000000004</v>
      </c>
      <c r="AB32" s="118">
        <v>583.33000000000004</v>
      </c>
      <c r="AC32" s="116"/>
      <c r="AD32" s="114">
        <v>0</v>
      </c>
      <c r="AE32" s="113" t="s">
        <v>1104</v>
      </c>
      <c r="AF32" s="73">
        <v>3</v>
      </c>
      <c r="AG32" s="74">
        <v>46234</v>
      </c>
      <c r="AH32" s="75">
        <v>2026</v>
      </c>
      <c r="AI32" s="75">
        <v>583.33000000000004</v>
      </c>
      <c r="AJ32" s="75">
        <v>583.33000000000004</v>
      </c>
      <c r="AK32" s="63"/>
      <c r="AL32" s="75">
        <v>0</v>
      </c>
      <c r="AM32" s="76" t="s">
        <v>1104</v>
      </c>
      <c r="AN32" s="45"/>
      <c r="AO32" s="45"/>
      <c r="AP32" s="45"/>
      <c r="AQ32" s="45"/>
      <c r="AR32" s="45"/>
    </row>
    <row r="33" spans="1:44" ht="63.75" thickBot="1">
      <c r="A33" s="297"/>
      <c r="B33" s="189" t="s">
        <v>1079</v>
      </c>
      <c r="C33" s="190">
        <v>46265</v>
      </c>
      <c r="D33" s="191">
        <v>2026</v>
      </c>
      <c r="E33" s="192">
        <v>583.33000000000004</v>
      </c>
      <c r="F33" s="192">
        <v>583.33000000000004</v>
      </c>
      <c r="G33" s="192"/>
      <c r="H33" s="193">
        <v>0</v>
      </c>
      <c r="I33" s="170">
        <v>4</v>
      </c>
      <c r="J33" s="177">
        <v>46265</v>
      </c>
      <c r="K33" s="164">
        <v>2026</v>
      </c>
      <c r="L33" s="148">
        <v>583.33000000000004</v>
      </c>
      <c r="M33" s="148">
        <v>583.33000000000004</v>
      </c>
      <c r="N33" s="148">
        <v>0</v>
      </c>
      <c r="O33" s="149">
        <v>0</v>
      </c>
      <c r="P33" s="145">
        <v>4</v>
      </c>
      <c r="Q33" s="74">
        <v>46265</v>
      </c>
      <c r="R33" s="75">
        <v>2026</v>
      </c>
      <c r="S33" s="75">
        <v>583.33000000000004</v>
      </c>
      <c r="T33" s="75">
        <v>583.33000000000004</v>
      </c>
      <c r="U33" s="63"/>
      <c r="V33" s="75">
        <v>0</v>
      </c>
      <c r="W33" s="76" t="s">
        <v>1104</v>
      </c>
      <c r="X33" s="109">
        <v>4</v>
      </c>
      <c r="Y33" s="111">
        <v>46265</v>
      </c>
      <c r="Z33" s="118">
        <v>2026</v>
      </c>
      <c r="AA33" s="118">
        <v>583.33000000000004</v>
      </c>
      <c r="AB33" s="118">
        <v>583.33000000000004</v>
      </c>
      <c r="AC33" s="116"/>
      <c r="AD33" s="114">
        <v>0</v>
      </c>
      <c r="AE33" s="113" t="s">
        <v>1104</v>
      </c>
      <c r="AF33" s="73">
        <v>4</v>
      </c>
      <c r="AG33" s="74">
        <v>46265</v>
      </c>
      <c r="AH33" s="75">
        <v>2026</v>
      </c>
      <c r="AI33" s="75">
        <v>583.33000000000004</v>
      </c>
      <c r="AJ33" s="75">
        <v>583.33000000000004</v>
      </c>
      <c r="AK33" s="63"/>
      <c r="AL33" s="75">
        <v>0</v>
      </c>
      <c r="AM33" s="76" t="s">
        <v>1104</v>
      </c>
      <c r="AN33" s="45"/>
      <c r="AO33" s="45"/>
      <c r="AP33" s="45"/>
      <c r="AQ33" s="45"/>
      <c r="AR33" s="45"/>
    </row>
    <row r="34" spans="1:44" ht="63.75" thickBot="1">
      <c r="A34" s="297"/>
      <c r="B34" s="189" t="s">
        <v>1080</v>
      </c>
      <c r="C34" s="190">
        <v>46295</v>
      </c>
      <c r="D34" s="191">
        <v>2026</v>
      </c>
      <c r="E34" s="192">
        <v>583.33000000000004</v>
      </c>
      <c r="F34" s="192">
        <v>583.33000000000004</v>
      </c>
      <c r="G34" s="192"/>
      <c r="H34" s="193">
        <v>0</v>
      </c>
      <c r="I34" s="170">
        <v>5</v>
      </c>
      <c r="J34" s="177">
        <v>46295</v>
      </c>
      <c r="K34" s="164">
        <v>2026</v>
      </c>
      <c r="L34" s="148">
        <v>583.33000000000004</v>
      </c>
      <c r="M34" s="148">
        <v>583.33000000000004</v>
      </c>
      <c r="N34" s="148">
        <v>0</v>
      </c>
      <c r="O34" s="149">
        <v>0</v>
      </c>
      <c r="P34" s="145">
        <v>5</v>
      </c>
      <c r="Q34" s="74">
        <v>46295</v>
      </c>
      <c r="R34" s="75">
        <v>2026</v>
      </c>
      <c r="S34" s="75">
        <v>583.33000000000004</v>
      </c>
      <c r="T34" s="75">
        <v>583.33000000000004</v>
      </c>
      <c r="U34" s="63"/>
      <c r="V34" s="75">
        <v>0</v>
      </c>
      <c r="W34" s="76" t="s">
        <v>1104</v>
      </c>
      <c r="X34" s="109">
        <v>5</v>
      </c>
      <c r="Y34" s="111">
        <v>46295</v>
      </c>
      <c r="Z34" s="118">
        <v>2026</v>
      </c>
      <c r="AA34" s="118">
        <v>583.33000000000004</v>
      </c>
      <c r="AB34" s="118">
        <v>583.33000000000004</v>
      </c>
      <c r="AC34" s="116"/>
      <c r="AD34" s="114">
        <v>0</v>
      </c>
      <c r="AE34" s="113" t="s">
        <v>1104</v>
      </c>
      <c r="AF34" s="73">
        <v>5</v>
      </c>
      <c r="AG34" s="74">
        <v>46295</v>
      </c>
      <c r="AH34" s="75">
        <v>2026</v>
      </c>
      <c r="AI34" s="75">
        <v>583.33000000000004</v>
      </c>
      <c r="AJ34" s="75">
        <v>583.33000000000004</v>
      </c>
      <c r="AK34" s="63"/>
      <c r="AL34" s="75">
        <v>0</v>
      </c>
      <c r="AM34" s="76" t="s">
        <v>1104</v>
      </c>
      <c r="AN34" s="45"/>
      <c r="AO34" s="45"/>
      <c r="AP34" s="45"/>
      <c r="AQ34" s="45"/>
      <c r="AR34" s="45"/>
    </row>
    <row r="35" spans="1:44" ht="63.75" thickBot="1">
      <c r="A35" s="297"/>
      <c r="B35" s="189" t="s">
        <v>1081</v>
      </c>
      <c r="C35" s="190">
        <v>46326</v>
      </c>
      <c r="D35" s="191">
        <v>2026</v>
      </c>
      <c r="E35" s="192">
        <v>583.33000000000004</v>
      </c>
      <c r="F35" s="192">
        <v>583.33000000000004</v>
      </c>
      <c r="G35" s="192"/>
      <c r="H35" s="193">
        <v>0</v>
      </c>
      <c r="I35" s="170">
        <v>6</v>
      </c>
      <c r="J35" s="177">
        <v>46326</v>
      </c>
      <c r="K35" s="164">
        <v>2026</v>
      </c>
      <c r="L35" s="148">
        <v>583.33000000000004</v>
      </c>
      <c r="M35" s="148">
        <v>583.33000000000004</v>
      </c>
      <c r="N35" s="148">
        <v>0</v>
      </c>
      <c r="O35" s="149">
        <v>0</v>
      </c>
      <c r="P35" s="145">
        <v>6</v>
      </c>
      <c r="Q35" s="74">
        <v>46326</v>
      </c>
      <c r="R35" s="75">
        <v>2026</v>
      </c>
      <c r="S35" s="75">
        <v>583.33000000000004</v>
      </c>
      <c r="T35" s="75">
        <v>583.33000000000004</v>
      </c>
      <c r="U35" s="63"/>
      <c r="V35" s="75">
        <v>0</v>
      </c>
      <c r="W35" s="76" t="s">
        <v>1104</v>
      </c>
      <c r="X35" s="109">
        <v>6</v>
      </c>
      <c r="Y35" s="111">
        <v>46326</v>
      </c>
      <c r="Z35" s="118">
        <v>2026</v>
      </c>
      <c r="AA35" s="118">
        <v>583.33000000000004</v>
      </c>
      <c r="AB35" s="118">
        <v>583.33000000000004</v>
      </c>
      <c r="AC35" s="116"/>
      <c r="AD35" s="114">
        <v>0</v>
      </c>
      <c r="AE35" s="113" t="s">
        <v>1104</v>
      </c>
      <c r="AF35" s="73">
        <v>6</v>
      </c>
      <c r="AG35" s="74">
        <v>46326</v>
      </c>
      <c r="AH35" s="75">
        <v>2026</v>
      </c>
      <c r="AI35" s="75">
        <v>583.33000000000004</v>
      </c>
      <c r="AJ35" s="75">
        <v>583.33000000000004</v>
      </c>
      <c r="AK35" s="63"/>
      <c r="AL35" s="75">
        <v>0</v>
      </c>
      <c r="AM35" s="76" t="s">
        <v>1104</v>
      </c>
      <c r="AN35" s="45"/>
      <c r="AO35" s="45"/>
      <c r="AP35" s="45"/>
      <c r="AQ35" s="45"/>
      <c r="AR35" s="45"/>
    </row>
    <row r="36" spans="1:44" ht="63.75" thickBot="1">
      <c r="A36" s="297"/>
      <c r="B36" s="189" t="s">
        <v>1082</v>
      </c>
      <c r="C36" s="190">
        <v>46356</v>
      </c>
      <c r="D36" s="191">
        <v>2026</v>
      </c>
      <c r="E36" s="192">
        <v>583.33000000000004</v>
      </c>
      <c r="F36" s="192">
        <v>583.33000000000004</v>
      </c>
      <c r="G36" s="192"/>
      <c r="H36" s="193">
        <v>0</v>
      </c>
      <c r="I36" s="170">
        <v>7</v>
      </c>
      <c r="J36" s="177">
        <v>46356</v>
      </c>
      <c r="K36" s="164">
        <v>2026</v>
      </c>
      <c r="L36" s="148">
        <v>583.33000000000004</v>
      </c>
      <c r="M36" s="148">
        <v>583.33000000000004</v>
      </c>
      <c r="N36" s="148">
        <v>0</v>
      </c>
      <c r="O36" s="149">
        <v>0</v>
      </c>
      <c r="P36" s="145">
        <v>7</v>
      </c>
      <c r="Q36" s="74">
        <v>46356</v>
      </c>
      <c r="R36" s="75">
        <v>2026</v>
      </c>
      <c r="S36" s="75">
        <v>583.33000000000004</v>
      </c>
      <c r="T36" s="75">
        <v>583.33000000000004</v>
      </c>
      <c r="U36" s="63"/>
      <c r="V36" s="75">
        <v>0</v>
      </c>
      <c r="W36" s="76" t="s">
        <v>1104</v>
      </c>
      <c r="X36" s="109">
        <v>7</v>
      </c>
      <c r="Y36" s="111">
        <v>46356</v>
      </c>
      <c r="Z36" s="118">
        <v>2026</v>
      </c>
      <c r="AA36" s="118">
        <v>583.33000000000004</v>
      </c>
      <c r="AB36" s="118">
        <v>583.33000000000004</v>
      </c>
      <c r="AC36" s="116"/>
      <c r="AD36" s="114">
        <v>0</v>
      </c>
      <c r="AE36" s="113" t="s">
        <v>1104</v>
      </c>
      <c r="AF36" s="73">
        <v>7</v>
      </c>
      <c r="AG36" s="74">
        <v>46356</v>
      </c>
      <c r="AH36" s="75">
        <v>2026</v>
      </c>
      <c r="AI36" s="75">
        <v>583.33000000000004</v>
      </c>
      <c r="AJ36" s="75">
        <v>583.33000000000004</v>
      </c>
      <c r="AK36" s="63"/>
      <c r="AL36" s="75">
        <v>0</v>
      </c>
      <c r="AM36" s="76" t="s">
        <v>1104</v>
      </c>
      <c r="AN36" s="45"/>
      <c r="AO36" s="45"/>
      <c r="AP36" s="45"/>
      <c r="AQ36" s="45"/>
      <c r="AR36" s="45"/>
    </row>
    <row r="37" spans="1:44" ht="63.75" thickBot="1">
      <c r="A37" s="297"/>
      <c r="B37" s="189" t="s">
        <v>1083</v>
      </c>
      <c r="C37" s="190">
        <v>46387</v>
      </c>
      <c r="D37" s="191">
        <v>2026</v>
      </c>
      <c r="E37" s="192">
        <v>583.33000000000004</v>
      </c>
      <c r="F37" s="192">
        <v>583.33000000000004</v>
      </c>
      <c r="G37" s="192"/>
      <c r="H37" s="193">
        <v>0</v>
      </c>
      <c r="I37" s="170">
        <v>8</v>
      </c>
      <c r="J37" s="177">
        <v>46387</v>
      </c>
      <c r="K37" s="164">
        <v>2026</v>
      </c>
      <c r="L37" s="148">
        <v>583.33000000000004</v>
      </c>
      <c r="M37" s="148">
        <v>583.33000000000004</v>
      </c>
      <c r="N37" s="148">
        <v>0</v>
      </c>
      <c r="O37" s="149">
        <v>0</v>
      </c>
      <c r="P37" s="145">
        <v>8</v>
      </c>
      <c r="Q37" s="74">
        <v>46387</v>
      </c>
      <c r="R37" s="75">
        <v>2026</v>
      </c>
      <c r="S37" s="75">
        <v>583.33000000000004</v>
      </c>
      <c r="T37" s="75">
        <v>583.33000000000004</v>
      </c>
      <c r="U37" s="63"/>
      <c r="V37" s="75">
        <v>0</v>
      </c>
      <c r="W37" s="76" t="s">
        <v>1104</v>
      </c>
      <c r="X37" s="109">
        <v>8</v>
      </c>
      <c r="Y37" s="111">
        <v>46387</v>
      </c>
      <c r="Z37" s="118">
        <v>2026</v>
      </c>
      <c r="AA37" s="118">
        <v>583.33000000000004</v>
      </c>
      <c r="AB37" s="118">
        <v>583.33000000000004</v>
      </c>
      <c r="AC37" s="116"/>
      <c r="AD37" s="114">
        <v>0</v>
      </c>
      <c r="AE37" s="113" t="s">
        <v>1104</v>
      </c>
      <c r="AF37" s="73">
        <v>8</v>
      </c>
      <c r="AG37" s="74">
        <v>46387</v>
      </c>
      <c r="AH37" s="75">
        <v>2026</v>
      </c>
      <c r="AI37" s="75">
        <v>583.33000000000004</v>
      </c>
      <c r="AJ37" s="75">
        <v>583.33000000000004</v>
      </c>
      <c r="AK37" s="63"/>
      <c r="AL37" s="75">
        <v>0</v>
      </c>
      <c r="AM37" s="76" t="s">
        <v>1104</v>
      </c>
      <c r="AN37" s="45"/>
      <c r="AO37" s="45"/>
      <c r="AP37" s="45"/>
      <c r="AQ37" s="45"/>
      <c r="AR37" s="45"/>
    </row>
    <row r="38" spans="1:44" ht="63.75" thickBot="1">
      <c r="A38" s="297"/>
      <c r="B38" s="189" t="s">
        <v>1084</v>
      </c>
      <c r="C38" s="190">
        <v>46418</v>
      </c>
      <c r="D38" s="191">
        <v>2027</v>
      </c>
      <c r="E38" s="192">
        <v>583.33000000000004</v>
      </c>
      <c r="F38" s="192">
        <v>583.33000000000004</v>
      </c>
      <c r="G38" s="192"/>
      <c r="H38" s="193">
        <v>0</v>
      </c>
      <c r="I38" s="170">
        <v>9</v>
      </c>
      <c r="J38" s="177">
        <v>46418</v>
      </c>
      <c r="K38" s="164">
        <v>2027</v>
      </c>
      <c r="L38" s="148">
        <v>583.33000000000004</v>
      </c>
      <c r="M38" s="148">
        <v>583.33000000000004</v>
      </c>
      <c r="N38" s="148">
        <v>0</v>
      </c>
      <c r="O38" s="149">
        <v>0</v>
      </c>
      <c r="P38" s="145">
        <v>9</v>
      </c>
      <c r="Q38" s="74">
        <v>46418</v>
      </c>
      <c r="R38" s="75">
        <v>2027</v>
      </c>
      <c r="S38" s="75">
        <v>583.33000000000004</v>
      </c>
      <c r="T38" s="75">
        <v>583.33000000000004</v>
      </c>
      <c r="U38" s="63"/>
      <c r="V38" s="75">
        <v>0</v>
      </c>
      <c r="W38" s="76" t="s">
        <v>1104</v>
      </c>
      <c r="X38" s="109">
        <v>9</v>
      </c>
      <c r="Y38" s="111">
        <v>46418</v>
      </c>
      <c r="Z38" s="118">
        <v>2027</v>
      </c>
      <c r="AA38" s="118">
        <v>583.33000000000004</v>
      </c>
      <c r="AB38" s="118">
        <v>583.33000000000004</v>
      </c>
      <c r="AC38" s="116"/>
      <c r="AD38" s="114">
        <v>0</v>
      </c>
      <c r="AE38" s="113" t="s">
        <v>1104</v>
      </c>
      <c r="AF38" s="73">
        <v>9</v>
      </c>
      <c r="AG38" s="74">
        <v>46418</v>
      </c>
      <c r="AH38" s="75">
        <v>2027</v>
      </c>
      <c r="AI38" s="75">
        <v>583.33000000000004</v>
      </c>
      <c r="AJ38" s="75">
        <v>583.33000000000004</v>
      </c>
      <c r="AK38" s="63"/>
      <c r="AL38" s="75">
        <v>0</v>
      </c>
      <c r="AM38" s="76" t="s">
        <v>1104</v>
      </c>
      <c r="AN38" s="45"/>
      <c r="AO38" s="45"/>
      <c r="AP38" s="45"/>
      <c r="AQ38" s="45"/>
      <c r="AR38" s="45"/>
    </row>
    <row r="39" spans="1:44" ht="63.75" thickBot="1">
      <c r="A39" s="297"/>
      <c r="B39" s="189" t="s">
        <v>1085</v>
      </c>
      <c r="C39" s="190">
        <v>46446</v>
      </c>
      <c r="D39" s="191">
        <v>2027</v>
      </c>
      <c r="E39" s="192">
        <v>583.33000000000004</v>
      </c>
      <c r="F39" s="192">
        <v>583.33000000000004</v>
      </c>
      <c r="G39" s="192"/>
      <c r="H39" s="193">
        <v>0</v>
      </c>
      <c r="I39" s="170">
        <v>10</v>
      </c>
      <c r="J39" s="177">
        <v>46446</v>
      </c>
      <c r="K39" s="164">
        <v>2027</v>
      </c>
      <c r="L39" s="148">
        <v>583.33000000000004</v>
      </c>
      <c r="M39" s="148">
        <v>583.33000000000004</v>
      </c>
      <c r="N39" s="148">
        <v>0</v>
      </c>
      <c r="O39" s="149">
        <v>0</v>
      </c>
      <c r="P39" s="145">
        <v>10</v>
      </c>
      <c r="Q39" s="74">
        <v>46446</v>
      </c>
      <c r="R39" s="75">
        <v>2027</v>
      </c>
      <c r="S39" s="75">
        <v>583.33000000000004</v>
      </c>
      <c r="T39" s="75">
        <v>583.33000000000004</v>
      </c>
      <c r="U39" s="63"/>
      <c r="V39" s="75">
        <v>0</v>
      </c>
      <c r="W39" s="76" t="s">
        <v>1104</v>
      </c>
      <c r="X39" s="109">
        <v>10</v>
      </c>
      <c r="Y39" s="111">
        <v>46446</v>
      </c>
      <c r="Z39" s="118">
        <v>2027</v>
      </c>
      <c r="AA39" s="118">
        <v>583.33000000000004</v>
      </c>
      <c r="AB39" s="118">
        <v>583.33000000000004</v>
      </c>
      <c r="AC39" s="116"/>
      <c r="AD39" s="114">
        <v>0</v>
      </c>
      <c r="AE39" s="113" t="s">
        <v>1104</v>
      </c>
      <c r="AF39" s="73">
        <v>10</v>
      </c>
      <c r="AG39" s="74">
        <v>46446</v>
      </c>
      <c r="AH39" s="75">
        <v>2027</v>
      </c>
      <c r="AI39" s="75">
        <v>583.33000000000004</v>
      </c>
      <c r="AJ39" s="75">
        <v>583.33000000000004</v>
      </c>
      <c r="AK39" s="63"/>
      <c r="AL39" s="75">
        <v>0</v>
      </c>
      <c r="AM39" s="76" t="s">
        <v>1104</v>
      </c>
      <c r="AN39" s="45"/>
      <c r="AO39" s="45"/>
      <c r="AP39" s="45"/>
      <c r="AQ39" s="45"/>
      <c r="AR39" s="45"/>
    </row>
    <row r="40" spans="1:44" ht="63.75" thickBot="1">
      <c r="A40" s="297"/>
      <c r="B40" s="189" t="s">
        <v>1086</v>
      </c>
      <c r="C40" s="190">
        <v>46477</v>
      </c>
      <c r="D40" s="191">
        <v>2027</v>
      </c>
      <c r="E40" s="192">
        <v>583.33000000000004</v>
      </c>
      <c r="F40" s="192">
        <v>583.33000000000004</v>
      </c>
      <c r="G40" s="192"/>
      <c r="H40" s="193">
        <v>0</v>
      </c>
      <c r="I40" s="170">
        <v>11</v>
      </c>
      <c r="J40" s="177">
        <v>46477</v>
      </c>
      <c r="K40" s="164">
        <v>2027</v>
      </c>
      <c r="L40" s="148">
        <v>583.33000000000004</v>
      </c>
      <c r="M40" s="148">
        <v>583.33000000000004</v>
      </c>
      <c r="N40" s="148">
        <v>0</v>
      </c>
      <c r="O40" s="149">
        <v>0</v>
      </c>
      <c r="P40" s="145">
        <v>11</v>
      </c>
      <c r="Q40" s="74">
        <v>46477</v>
      </c>
      <c r="R40" s="75">
        <v>2027</v>
      </c>
      <c r="S40" s="75">
        <v>583.33000000000004</v>
      </c>
      <c r="T40" s="75">
        <v>583.33000000000004</v>
      </c>
      <c r="U40" s="63"/>
      <c r="V40" s="75">
        <v>0</v>
      </c>
      <c r="W40" s="76" t="s">
        <v>1104</v>
      </c>
      <c r="X40" s="109">
        <v>11</v>
      </c>
      <c r="Y40" s="111">
        <v>46477</v>
      </c>
      <c r="Z40" s="118">
        <v>2027</v>
      </c>
      <c r="AA40" s="118">
        <v>583.33000000000004</v>
      </c>
      <c r="AB40" s="118">
        <v>583.33000000000004</v>
      </c>
      <c r="AC40" s="116"/>
      <c r="AD40" s="114">
        <v>0</v>
      </c>
      <c r="AE40" s="113" t="s">
        <v>1104</v>
      </c>
      <c r="AF40" s="73">
        <v>11</v>
      </c>
      <c r="AG40" s="74">
        <v>46477</v>
      </c>
      <c r="AH40" s="75">
        <v>2027</v>
      </c>
      <c r="AI40" s="75">
        <v>583.33000000000004</v>
      </c>
      <c r="AJ40" s="75">
        <v>583.33000000000004</v>
      </c>
      <c r="AK40" s="63"/>
      <c r="AL40" s="75">
        <v>0</v>
      </c>
      <c r="AM40" s="76" t="s">
        <v>1104</v>
      </c>
      <c r="AN40" s="45"/>
      <c r="AO40" s="45"/>
      <c r="AP40" s="45"/>
      <c r="AQ40" s="45"/>
      <c r="AR40" s="45"/>
    </row>
    <row r="41" spans="1:44" ht="63.75" thickBot="1">
      <c r="A41" s="297"/>
      <c r="B41" s="189" t="s">
        <v>1087</v>
      </c>
      <c r="C41" s="190">
        <v>46507</v>
      </c>
      <c r="D41" s="191">
        <v>2027</v>
      </c>
      <c r="E41" s="192">
        <v>583.37</v>
      </c>
      <c r="F41" s="192">
        <v>583.37</v>
      </c>
      <c r="G41" s="192"/>
      <c r="H41" s="193">
        <v>0</v>
      </c>
      <c r="I41" s="170">
        <v>12</v>
      </c>
      <c r="J41" s="177">
        <v>46507</v>
      </c>
      <c r="K41" s="164">
        <v>2027</v>
      </c>
      <c r="L41" s="148">
        <v>583.37</v>
      </c>
      <c r="M41" s="148">
        <v>583.37</v>
      </c>
      <c r="N41" s="148">
        <v>0</v>
      </c>
      <c r="O41" s="149">
        <v>0</v>
      </c>
      <c r="P41" s="145">
        <v>12</v>
      </c>
      <c r="Q41" s="74">
        <v>46507</v>
      </c>
      <c r="R41" s="75">
        <v>2027</v>
      </c>
      <c r="S41" s="75">
        <v>583.37</v>
      </c>
      <c r="T41" s="75">
        <v>583.37</v>
      </c>
      <c r="U41" s="63"/>
      <c r="V41" s="75">
        <v>0</v>
      </c>
      <c r="W41" s="76" t="s">
        <v>1104</v>
      </c>
      <c r="X41" s="109">
        <v>12</v>
      </c>
      <c r="Y41" s="111">
        <v>46507</v>
      </c>
      <c r="Z41" s="118">
        <v>2027</v>
      </c>
      <c r="AA41" s="118">
        <v>583.37</v>
      </c>
      <c r="AB41" s="118">
        <v>583.37</v>
      </c>
      <c r="AC41" s="116"/>
      <c r="AD41" s="114">
        <v>0</v>
      </c>
      <c r="AE41" s="113" t="s">
        <v>1104</v>
      </c>
      <c r="AF41" s="73">
        <v>12</v>
      </c>
      <c r="AG41" s="74">
        <v>46507</v>
      </c>
      <c r="AH41" s="75">
        <v>2027</v>
      </c>
      <c r="AI41" s="75">
        <v>583.37</v>
      </c>
      <c r="AJ41" s="75">
        <v>583.37</v>
      </c>
      <c r="AK41" s="63"/>
      <c r="AL41" s="75">
        <v>0</v>
      </c>
      <c r="AM41" s="76" t="s">
        <v>1104</v>
      </c>
      <c r="AN41" s="45"/>
      <c r="AO41" s="45"/>
      <c r="AP41" s="45"/>
      <c r="AQ41" s="45"/>
      <c r="AR41" s="45"/>
    </row>
    <row r="42" spans="1:44" ht="79.5" thickBot="1">
      <c r="A42" s="298"/>
      <c r="B42" s="194" t="s">
        <v>1100</v>
      </c>
      <c r="C42" s="195">
        <v>46507</v>
      </c>
      <c r="D42" s="196">
        <v>2027</v>
      </c>
      <c r="E42" s="197">
        <v>1000</v>
      </c>
      <c r="F42" s="197">
        <v>0</v>
      </c>
      <c r="G42" s="197">
        <v>1000</v>
      </c>
      <c r="H42" s="198">
        <v>0</v>
      </c>
      <c r="I42" s="179" t="s">
        <v>1074</v>
      </c>
      <c r="J42" s="180">
        <v>46507</v>
      </c>
      <c r="K42" s="181">
        <v>2027</v>
      </c>
      <c r="L42" s="182">
        <v>1000</v>
      </c>
      <c r="M42" s="182">
        <v>0</v>
      </c>
      <c r="N42" s="182">
        <v>1000</v>
      </c>
      <c r="O42" s="183">
        <v>0</v>
      </c>
      <c r="P42" s="146" t="s">
        <v>1100</v>
      </c>
      <c r="Q42" s="80">
        <v>46507</v>
      </c>
      <c r="R42" s="77">
        <v>2027</v>
      </c>
      <c r="S42" s="77">
        <v>1000</v>
      </c>
      <c r="T42" s="77">
        <v>0</v>
      </c>
      <c r="U42" s="77">
        <v>1000</v>
      </c>
      <c r="V42" s="77">
        <v>0</v>
      </c>
      <c r="W42" s="78" t="s">
        <v>1105</v>
      </c>
      <c r="X42" s="119" t="s">
        <v>1100</v>
      </c>
      <c r="Y42" s="123">
        <v>46507</v>
      </c>
      <c r="Z42" s="122">
        <v>2027</v>
      </c>
      <c r="AA42" s="122">
        <v>1000</v>
      </c>
      <c r="AB42" s="122">
        <v>0</v>
      </c>
      <c r="AC42" s="122">
        <v>1000</v>
      </c>
      <c r="AD42" s="121">
        <v>0</v>
      </c>
      <c r="AE42" s="120" t="s">
        <v>1105</v>
      </c>
      <c r="AF42" s="79" t="s">
        <v>1100</v>
      </c>
      <c r="AG42" s="80">
        <v>46507</v>
      </c>
      <c r="AH42" s="77">
        <v>2027</v>
      </c>
      <c r="AI42" s="77">
        <v>1000</v>
      </c>
      <c r="AJ42" s="77">
        <v>0</v>
      </c>
      <c r="AK42" s="77">
        <v>1000</v>
      </c>
      <c r="AL42" s="77">
        <v>0</v>
      </c>
      <c r="AM42" s="78" t="s">
        <v>1105</v>
      </c>
      <c r="AN42" s="45"/>
      <c r="AO42" s="45"/>
      <c r="AP42" s="45"/>
      <c r="AQ42" s="45"/>
      <c r="AR42" s="45"/>
    </row>
    <row r="43" spans="1:44" ht="75">
      <c r="A43" s="296" t="s">
        <v>1123</v>
      </c>
      <c r="B43" s="199" t="s">
        <v>990</v>
      </c>
      <c r="C43" s="200">
        <v>46127</v>
      </c>
      <c r="D43" s="201">
        <v>2026</v>
      </c>
      <c r="E43" s="202">
        <v>1500</v>
      </c>
      <c r="F43" s="202">
        <v>1500</v>
      </c>
      <c r="G43" s="202"/>
      <c r="H43" s="203">
        <v>0</v>
      </c>
      <c r="I43" s="151" t="s">
        <v>990</v>
      </c>
      <c r="J43" s="166">
        <f ca="1">$M$58</f>
        <v>46127</v>
      </c>
      <c r="K43" s="167">
        <f ca="1">YEAR(J43)</f>
        <v>2026</v>
      </c>
      <c r="L43" s="168">
        <f ca="1">ROUND($M$59*$M$60,2)</f>
        <v>1500</v>
      </c>
      <c r="M43" s="168">
        <v>1500</v>
      </c>
      <c r="N43" s="168">
        <v>0</v>
      </c>
      <c r="O43" s="169">
        <v>0</v>
      </c>
      <c r="P43" s="144" t="s">
        <v>990</v>
      </c>
      <c r="Q43" s="70">
        <v>46127</v>
      </c>
      <c r="R43" s="71">
        <v>2026</v>
      </c>
      <c r="S43" s="71">
        <v>1500</v>
      </c>
      <c r="T43" s="71">
        <v>1500</v>
      </c>
      <c r="U43" s="59"/>
      <c r="V43" s="71">
        <v>0</v>
      </c>
      <c r="W43" s="72" t="s">
        <v>1103</v>
      </c>
      <c r="X43" s="85" t="s">
        <v>990</v>
      </c>
      <c r="Y43" s="86">
        <v>46127</v>
      </c>
      <c r="Z43" s="87">
        <v>2026</v>
      </c>
      <c r="AA43" s="87">
        <v>1500</v>
      </c>
      <c r="AB43" s="87">
        <v>1500</v>
      </c>
      <c r="AC43" s="87"/>
      <c r="AD43" s="124">
        <v>0</v>
      </c>
      <c r="AE43" s="125" t="s">
        <v>1103</v>
      </c>
      <c r="AF43" s="57" t="s">
        <v>990</v>
      </c>
      <c r="AG43" s="58">
        <v>46127</v>
      </c>
      <c r="AH43" s="59">
        <v>2026</v>
      </c>
      <c r="AI43" s="59">
        <v>1500</v>
      </c>
      <c r="AJ43" s="59">
        <v>1500</v>
      </c>
      <c r="AK43" s="59"/>
      <c r="AL43" s="59">
        <v>0</v>
      </c>
      <c r="AM43" s="89" t="s">
        <v>1103</v>
      </c>
      <c r="AN43" s="45"/>
      <c r="AO43" s="45"/>
      <c r="AP43" s="45"/>
      <c r="AQ43" s="45"/>
      <c r="AR43" s="45"/>
    </row>
    <row r="44" spans="1:44" ht="60">
      <c r="A44" s="297"/>
      <c r="B44" s="189" t="s">
        <v>1076</v>
      </c>
      <c r="C44" s="190">
        <v>46173</v>
      </c>
      <c r="D44" s="191">
        <v>2026</v>
      </c>
      <c r="E44" s="192">
        <v>190.23</v>
      </c>
      <c r="F44" s="192">
        <v>166.64</v>
      </c>
      <c r="G44" s="192"/>
      <c r="H44" s="193">
        <v>23.59</v>
      </c>
      <c r="I44" s="170">
        <v>1</v>
      </c>
      <c r="J44" s="160">
        <f ca="1">EOMONTH($M$58,I44)</f>
        <v>46173</v>
      </c>
      <c r="K44" s="164">
        <f t="shared" ref="K44:K79" ca="1" si="5">YEAR(J44)</f>
        <v>2026</v>
      </c>
      <c r="L44" s="165">
        <f ca="1">ROUND(IF($M$62=0,(($M$59-ROUND($M$59*$M$60,2))-ROUND($M$59*$M$61,2))/($M$63*$M$64),(($M$62/$M$64)*(($M$59-ROUND($M$59*$M$60,2))-ROUND($M$59*$M$61,2)/(1+$M$62/$M$64)^($M$63*$M$64)))/(1-(1+$M$62/$M$64)^(-$M$63*$M$64))),2)</f>
        <v>190.23</v>
      </c>
      <c r="M44" s="165">
        <f ca="1">ROUND(L44-O44,2)</f>
        <v>166.64</v>
      </c>
      <c r="N44" s="165">
        <f>0</f>
        <v>0</v>
      </c>
      <c r="O44" s="171">
        <f ca="1">ROUND(P43*($M$62/$M$64),2)</f>
        <v>23.59</v>
      </c>
      <c r="P44" s="145">
        <v>1</v>
      </c>
      <c r="Q44" s="74">
        <v>46173</v>
      </c>
      <c r="R44" s="75">
        <v>2026</v>
      </c>
      <c r="S44" s="75">
        <v>190.23</v>
      </c>
      <c r="T44" s="75">
        <v>166.64</v>
      </c>
      <c r="U44" s="63"/>
      <c r="V44" s="75">
        <v>23.59</v>
      </c>
      <c r="W44" s="76" t="s">
        <v>1104</v>
      </c>
      <c r="X44" s="90">
        <v>1</v>
      </c>
      <c r="Y44" s="91">
        <v>46173</v>
      </c>
      <c r="Z44" s="92">
        <v>2026</v>
      </c>
      <c r="AA44" s="129">
        <v>190.25</v>
      </c>
      <c r="AB44" s="129">
        <v>166.66</v>
      </c>
      <c r="AC44" s="92"/>
      <c r="AD44" s="130">
        <v>23.59</v>
      </c>
      <c r="AE44" s="128" t="s">
        <v>1104</v>
      </c>
      <c r="AF44" s="61">
        <v>1</v>
      </c>
      <c r="AG44" s="62">
        <v>46173</v>
      </c>
      <c r="AH44" s="63">
        <v>2026</v>
      </c>
      <c r="AI44" s="63">
        <v>190.23</v>
      </c>
      <c r="AJ44" s="63">
        <v>166.64</v>
      </c>
      <c r="AK44" s="63"/>
      <c r="AL44" s="63">
        <v>23.59</v>
      </c>
      <c r="AM44" s="94" t="s">
        <v>1104</v>
      </c>
      <c r="AN44" s="45"/>
      <c r="AO44" s="45"/>
      <c r="AP44" s="45"/>
      <c r="AQ44" s="45"/>
      <c r="AR44" s="45"/>
    </row>
    <row r="45" spans="1:44" ht="60">
      <c r="A45" s="297"/>
      <c r="B45" s="189" t="s">
        <v>1077</v>
      </c>
      <c r="C45" s="190">
        <v>46203</v>
      </c>
      <c r="D45" s="191">
        <v>2026</v>
      </c>
      <c r="E45" s="192">
        <v>190.23</v>
      </c>
      <c r="F45" s="192">
        <v>167.1</v>
      </c>
      <c r="G45" s="192"/>
      <c r="H45" s="193">
        <v>23.13</v>
      </c>
      <c r="I45" s="170">
        <v>2</v>
      </c>
      <c r="J45" s="160">
        <f t="shared" ref="J45:J79" ca="1" si="6">EOMONTH($M$58,I45)</f>
        <v>46203</v>
      </c>
      <c r="K45" s="164">
        <f t="shared" ca="1" si="5"/>
        <v>2026</v>
      </c>
      <c r="L45" s="165">
        <f t="shared" ref="L45:L78" ca="1" si="7">ROUND(IF($M$62=0,(($M$59-ROUND($M$59*$M$60,2))-ROUND($M$59*$M$61,2))/($M$63*$M$64),(($M$62/$M$64)*(($M$59-ROUND($M$59*$M$60,2))-ROUND($M$59*$M$61,2)/(1+$M$62/$M$64)^($M$63*$M$64)))/(1-(1+$M$62/$M$64)^(-$M$63*$M$64))),2)</f>
        <v>190.23</v>
      </c>
      <c r="M45" s="165">
        <f t="shared" ref="M45:M78" ca="1" si="8">ROUND(L45-O45,2)</f>
        <v>167.1</v>
      </c>
      <c r="N45" s="165">
        <f>0</f>
        <v>0</v>
      </c>
      <c r="O45" s="171">
        <f t="shared" ref="O45:O78" ca="1" si="9">ROUND(P44*($M$62/$M$64),2)</f>
        <v>23.13</v>
      </c>
      <c r="P45" s="145">
        <v>2</v>
      </c>
      <c r="Q45" s="74">
        <v>46203</v>
      </c>
      <c r="R45" s="75">
        <v>2026</v>
      </c>
      <c r="S45" s="75">
        <v>190.23</v>
      </c>
      <c r="T45" s="75">
        <v>167.1</v>
      </c>
      <c r="U45" s="63"/>
      <c r="V45" s="75">
        <v>23.13</v>
      </c>
      <c r="W45" s="76" t="s">
        <v>1104</v>
      </c>
      <c r="X45" s="90">
        <v>2</v>
      </c>
      <c r="Y45" s="91">
        <v>46203</v>
      </c>
      <c r="Z45" s="92">
        <v>2026</v>
      </c>
      <c r="AA45" s="129">
        <v>190.25</v>
      </c>
      <c r="AB45" s="129">
        <v>167.12</v>
      </c>
      <c r="AC45" s="92"/>
      <c r="AD45" s="130">
        <v>23.13</v>
      </c>
      <c r="AE45" s="128" t="s">
        <v>1104</v>
      </c>
      <c r="AF45" s="61">
        <v>2</v>
      </c>
      <c r="AG45" s="62">
        <v>46203</v>
      </c>
      <c r="AH45" s="63">
        <v>2026</v>
      </c>
      <c r="AI45" s="63">
        <v>190.23</v>
      </c>
      <c r="AJ45" s="63">
        <v>167.1</v>
      </c>
      <c r="AK45" s="63"/>
      <c r="AL45" s="63">
        <v>23.13</v>
      </c>
      <c r="AM45" s="94" t="s">
        <v>1104</v>
      </c>
      <c r="AN45" s="45"/>
      <c r="AO45" s="45"/>
      <c r="AP45" s="45"/>
      <c r="AQ45" s="45"/>
      <c r="AR45" s="45"/>
    </row>
    <row r="46" spans="1:44" ht="60">
      <c r="A46" s="297"/>
      <c r="B46" s="189" t="s">
        <v>1078</v>
      </c>
      <c r="C46" s="190">
        <v>46234</v>
      </c>
      <c r="D46" s="191">
        <v>2026</v>
      </c>
      <c r="E46" s="192">
        <v>190.23</v>
      </c>
      <c r="F46" s="192">
        <v>167.57</v>
      </c>
      <c r="G46" s="192"/>
      <c r="H46" s="193">
        <v>22.66</v>
      </c>
      <c r="I46" s="170">
        <v>3</v>
      </c>
      <c r="J46" s="160">
        <f t="shared" ca="1" si="6"/>
        <v>46234</v>
      </c>
      <c r="K46" s="164">
        <f t="shared" ca="1" si="5"/>
        <v>2026</v>
      </c>
      <c r="L46" s="165">
        <f t="shared" ca="1" si="7"/>
        <v>190.23</v>
      </c>
      <c r="M46" s="165">
        <f t="shared" ca="1" si="8"/>
        <v>167.57</v>
      </c>
      <c r="N46" s="165">
        <f>0</f>
        <v>0</v>
      </c>
      <c r="O46" s="171">
        <f t="shared" ca="1" si="9"/>
        <v>22.66</v>
      </c>
      <c r="P46" s="145">
        <v>3</v>
      </c>
      <c r="Q46" s="74">
        <v>46234</v>
      </c>
      <c r="R46" s="75">
        <v>2026</v>
      </c>
      <c r="S46" s="75">
        <v>190.23</v>
      </c>
      <c r="T46" s="75">
        <v>167.57</v>
      </c>
      <c r="U46" s="63"/>
      <c r="V46" s="75">
        <v>22.66</v>
      </c>
      <c r="W46" s="76" t="s">
        <v>1104</v>
      </c>
      <c r="X46" s="90">
        <v>3</v>
      </c>
      <c r="Y46" s="91">
        <v>46234</v>
      </c>
      <c r="Z46" s="92">
        <v>2026</v>
      </c>
      <c r="AA46" s="129">
        <v>190.25</v>
      </c>
      <c r="AB46" s="129">
        <v>167.59</v>
      </c>
      <c r="AC46" s="92"/>
      <c r="AD46" s="130">
        <v>22.66</v>
      </c>
      <c r="AE46" s="128" t="s">
        <v>1104</v>
      </c>
      <c r="AF46" s="61">
        <v>3</v>
      </c>
      <c r="AG46" s="62">
        <v>46234</v>
      </c>
      <c r="AH46" s="63">
        <v>2026</v>
      </c>
      <c r="AI46" s="63">
        <v>190.23</v>
      </c>
      <c r="AJ46" s="63">
        <v>167.57</v>
      </c>
      <c r="AK46" s="63"/>
      <c r="AL46" s="63">
        <v>22.66</v>
      </c>
      <c r="AM46" s="94" t="s">
        <v>1104</v>
      </c>
      <c r="AN46" s="45"/>
      <c r="AO46" s="45"/>
      <c r="AP46" s="45"/>
      <c r="AQ46" s="45"/>
      <c r="AR46" s="45"/>
    </row>
    <row r="47" spans="1:44" ht="60">
      <c r="A47" s="297"/>
      <c r="B47" s="189" t="s">
        <v>1079</v>
      </c>
      <c r="C47" s="190">
        <v>46265</v>
      </c>
      <c r="D47" s="191">
        <v>2026</v>
      </c>
      <c r="E47" s="192">
        <v>190.23</v>
      </c>
      <c r="F47" s="192">
        <v>168.03</v>
      </c>
      <c r="G47" s="192"/>
      <c r="H47" s="193">
        <v>22.2</v>
      </c>
      <c r="I47" s="170">
        <v>4</v>
      </c>
      <c r="J47" s="160">
        <f t="shared" ca="1" si="6"/>
        <v>46265</v>
      </c>
      <c r="K47" s="164">
        <f t="shared" ca="1" si="5"/>
        <v>2026</v>
      </c>
      <c r="L47" s="165">
        <f t="shared" ca="1" si="7"/>
        <v>190.23</v>
      </c>
      <c r="M47" s="165">
        <f t="shared" ca="1" si="8"/>
        <v>168.03</v>
      </c>
      <c r="N47" s="165">
        <f>0</f>
        <v>0</v>
      </c>
      <c r="O47" s="171">
        <f t="shared" ca="1" si="9"/>
        <v>22.2</v>
      </c>
      <c r="P47" s="145">
        <v>4</v>
      </c>
      <c r="Q47" s="74">
        <v>46265</v>
      </c>
      <c r="R47" s="75">
        <v>2026</v>
      </c>
      <c r="S47" s="75">
        <v>190.23</v>
      </c>
      <c r="T47" s="75">
        <v>168.03</v>
      </c>
      <c r="U47" s="63"/>
      <c r="V47" s="75">
        <v>22.2</v>
      </c>
      <c r="W47" s="76" t="s">
        <v>1104</v>
      </c>
      <c r="X47" s="90">
        <v>4</v>
      </c>
      <c r="Y47" s="91">
        <v>46265</v>
      </c>
      <c r="Z47" s="92">
        <v>2026</v>
      </c>
      <c r="AA47" s="129">
        <v>190.25</v>
      </c>
      <c r="AB47" s="129">
        <v>168.05</v>
      </c>
      <c r="AC47" s="92"/>
      <c r="AD47" s="130">
        <v>22.2</v>
      </c>
      <c r="AE47" s="128" t="s">
        <v>1104</v>
      </c>
      <c r="AF47" s="61">
        <v>4</v>
      </c>
      <c r="AG47" s="62">
        <v>46265</v>
      </c>
      <c r="AH47" s="63">
        <v>2026</v>
      </c>
      <c r="AI47" s="63">
        <v>190.23</v>
      </c>
      <c r="AJ47" s="63">
        <v>168.03</v>
      </c>
      <c r="AK47" s="63"/>
      <c r="AL47" s="63">
        <v>22.2</v>
      </c>
      <c r="AM47" s="94" t="s">
        <v>1104</v>
      </c>
      <c r="AN47" s="45"/>
      <c r="AO47" s="45"/>
      <c r="AP47" s="45"/>
      <c r="AQ47" s="45"/>
      <c r="AR47" s="45"/>
    </row>
    <row r="48" spans="1:44" ht="60">
      <c r="A48" s="297"/>
      <c r="B48" s="189" t="s">
        <v>1080</v>
      </c>
      <c r="C48" s="190">
        <v>46295</v>
      </c>
      <c r="D48" s="191">
        <v>2026</v>
      </c>
      <c r="E48" s="192">
        <v>190.23</v>
      </c>
      <c r="F48" s="192">
        <v>168.5</v>
      </c>
      <c r="G48" s="192"/>
      <c r="H48" s="193">
        <v>21.73</v>
      </c>
      <c r="I48" s="170">
        <v>5</v>
      </c>
      <c r="J48" s="160">
        <f t="shared" ca="1" si="6"/>
        <v>46295</v>
      </c>
      <c r="K48" s="164">
        <f t="shared" ca="1" si="5"/>
        <v>2026</v>
      </c>
      <c r="L48" s="165">
        <f t="shared" ca="1" si="7"/>
        <v>190.23</v>
      </c>
      <c r="M48" s="165">
        <f t="shared" ca="1" si="8"/>
        <v>168.5</v>
      </c>
      <c r="N48" s="165">
        <f>0</f>
        <v>0</v>
      </c>
      <c r="O48" s="171">
        <f t="shared" ca="1" si="9"/>
        <v>21.73</v>
      </c>
      <c r="P48" s="145">
        <v>5</v>
      </c>
      <c r="Q48" s="74">
        <v>46295</v>
      </c>
      <c r="R48" s="75">
        <v>2026</v>
      </c>
      <c r="S48" s="75">
        <v>190.23</v>
      </c>
      <c r="T48" s="75">
        <v>168.5</v>
      </c>
      <c r="U48" s="63"/>
      <c r="V48" s="75">
        <v>21.73</v>
      </c>
      <c r="W48" s="76" t="s">
        <v>1104</v>
      </c>
      <c r="X48" s="90">
        <v>5</v>
      </c>
      <c r="Y48" s="91">
        <v>46295</v>
      </c>
      <c r="Z48" s="92">
        <v>2026</v>
      </c>
      <c r="AA48" s="129">
        <v>190.25</v>
      </c>
      <c r="AB48" s="129">
        <v>168.52</v>
      </c>
      <c r="AC48" s="92"/>
      <c r="AD48" s="130">
        <v>21.73</v>
      </c>
      <c r="AE48" s="128" t="s">
        <v>1104</v>
      </c>
      <c r="AF48" s="61">
        <v>5</v>
      </c>
      <c r="AG48" s="62">
        <v>46295</v>
      </c>
      <c r="AH48" s="63">
        <v>2026</v>
      </c>
      <c r="AI48" s="63">
        <v>190.23</v>
      </c>
      <c r="AJ48" s="63">
        <v>168.5</v>
      </c>
      <c r="AK48" s="63"/>
      <c r="AL48" s="63">
        <v>21.73</v>
      </c>
      <c r="AM48" s="94" t="s">
        <v>1104</v>
      </c>
      <c r="AN48" s="45"/>
      <c r="AO48" s="45"/>
      <c r="AP48" s="45"/>
      <c r="AQ48" s="45"/>
      <c r="AR48" s="45"/>
    </row>
    <row r="49" spans="1:44" ht="60">
      <c r="A49" s="297"/>
      <c r="B49" s="189" t="s">
        <v>1081</v>
      </c>
      <c r="C49" s="190">
        <v>46326</v>
      </c>
      <c r="D49" s="191">
        <v>2026</v>
      </c>
      <c r="E49" s="192">
        <v>190.23</v>
      </c>
      <c r="F49" s="192">
        <v>168.97</v>
      </c>
      <c r="G49" s="192"/>
      <c r="H49" s="193">
        <v>21.26</v>
      </c>
      <c r="I49" s="170">
        <v>6</v>
      </c>
      <c r="J49" s="160">
        <f t="shared" ca="1" si="6"/>
        <v>46326</v>
      </c>
      <c r="K49" s="164">
        <f t="shared" ca="1" si="5"/>
        <v>2026</v>
      </c>
      <c r="L49" s="165">
        <f t="shared" ca="1" si="7"/>
        <v>190.23</v>
      </c>
      <c r="M49" s="165">
        <f t="shared" ca="1" si="8"/>
        <v>168.97</v>
      </c>
      <c r="N49" s="165">
        <f>0</f>
        <v>0</v>
      </c>
      <c r="O49" s="171">
        <f t="shared" ca="1" si="9"/>
        <v>21.26</v>
      </c>
      <c r="P49" s="145">
        <v>6</v>
      </c>
      <c r="Q49" s="74">
        <v>46326</v>
      </c>
      <c r="R49" s="75">
        <v>2026</v>
      </c>
      <c r="S49" s="75">
        <v>190.23</v>
      </c>
      <c r="T49" s="75">
        <v>168.97</v>
      </c>
      <c r="U49" s="63"/>
      <c r="V49" s="75">
        <v>21.26</v>
      </c>
      <c r="W49" s="76" t="s">
        <v>1104</v>
      </c>
      <c r="X49" s="90">
        <v>6</v>
      </c>
      <c r="Y49" s="91">
        <v>46326</v>
      </c>
      <c r="Z49" s="92">
        <v>2026</v>
      </c>
      <c r="AA49" s="129">
        <v>190.25</v>
      </c>
      <c r="AB49" s="129">
        <v>168.99</v>
      </c>
      <c r="AC49" s="92"/>
      <c r="AD49" s="130">
        <v>21.26</v>
      </c>
      <c r="AE49" s="128" t="s">
        <v>1104</v>
      </c>
      <c r="AF49" s="61">
        <v>6</v>
      </c>
      <c r="AG49" s="62">
        <v>46326</v>
      </c>
      <c r="AH49" s="63">
        <v>2026</v>
      </c>
      <c r="AI49" s="63">
        <v>190.23</v>
      </c>
      <c r="AJ49" s="63">
        <v>168.97</v>
      </c>
      <c r="AK49" s="63"/>
      <c r="AL49" s="63">
        <v>21.26</v>
      </c>
      <c r="AM49" s="94" t="s">
        <v>1104</v>
      </c>
      <c r="AN49" s="45"/>
      <c r="AO49" s="45"/>
      <c r="AP49" s="45"/>
      <c r="AQ49" s="45"/>
      <c r="AR49" s="45"/>
    </row>
    <row r="50" spans="1:44" ht="60">
      <c r="A50" s="297"/>
      <c r="B50" s="189" t="s">
        <v>1082</v>
      </c>
      <c r="C50" s="190">
        <v>46356</v>
      </c>
      <c r="D50" s="191">
        <v>2026</v>
      </c>
      <c r="E50" s="192">
        <v>190.23</v>
      </c>
      <c r="F50" s="192">
        <v>169.44</v>
      </c>
      <c r="G50" s="192"/>
      <c r="H50" s="193">
        <v>20.79</v>
      </c>
      <c r="I50" s="170">
        <v>7</v>
      </c>
      <c r="J50" s="160">
        <f t="shared" ca="1" si="6"/>
        <v>46356</v>
      </c>
      <c r="K50" s="164">
        <f t="shared" ca="1" si="5"/>
        <v>2026</v>
      </c>
      <c r="L50" s="165">
        <f t="shared" ca="1" si="7"/>
        <v>190.23</v>
      </c>
      <c r="M50" s="165">
        <f t="shared" ca="1" si="8"/>
        <v>169.44</v>
      </c>
      <c r="N50" s="165">
        <f>0</f>
        <v>0</v>
      </c>
      <c r="O50" s="171">
        <f t="shared" ca="1" si="9"/>
        <v>20.79</v>
      </c>
      <c r="P50" s="145">
        <v>7</v>
      </c>
      <c r="Q50" s="74">
        <v>46356</v>
      </c>
      <c r="R50" s="75">
        <v>2026</v>
      </c>
      <c r="S50" s="75">
        <v>190.23</v>
      </c>
      <c r="T50" s="75">
        <v>169.44</v>
      </c>
      <c r="U50" s="63"/>
      <c r="V50" s="75">
        <v>20.79</v>
      </c>
      <c r="W50" s="76" t="s">
        <v>1104</v>
      </c>
      <c r="X50" s="90">
        <v>7</v>
      </c>
      <c r="Y50" s="91">
        <v>46356</v>
      </c>
      <c r="Z50" s="92">
        <v>2026</v>
      </c>
      <c r="AA50" s="129">
        <v>190.25</v>
      </c>
      <c r="AB50" s="129">
        <v>169.46</v>
      </c>
      <c r="AC50" s="92"/>
      <c r="AD50" s="130">
        <v>20.79</v>
      </c>
      <c r="AE50" s="128" t="s">
        <v>1104</v>
      </c>
      <c r="AF50" s="61">
        <v>7</v>
      </c>
      <c r="AG50" s="62">
        <v>46356</v>
      </c>
      <c r="AH50" s="63">
        <v>2026</v>
      </c>
      <c r="AI50" s="63">
        <v>190.23</v>
      </c>
      <c r="AJ50" s="63">
        <v>169.44</v>
      </c>
      <c r="AK50" s="63"/>
      <c r="AL50" s="63">
        <v>20.79</v>
      </c>
      <c r="AM50" s="94" t="s">
        <v>1104</v>
      </c>
      <c r="AN50" s="45"/>
      <c r="AO50" s="45"/>
      <c r="AP50" s="45"/>
      <c r="AQ50" s="45"/>
      <c r="AR50" s="45"/>
    </row>
    <row r="51" spans="1:44" ht="60">
      <c r="A51" s="297"/>
      <c r="B51" s="189" t="s">
        <v>1083</v>
      </c>
      <c r="C51" s="190">
        <v>46387</v>
      </c>
      <c r="D51" s="191">
        <v>2026</v>
      </c>
      <c r="E51" s="192">
        <v>190.23</v>
      </c>
      <c r="F51" s="192">
        <v>169.91</v>
      </c>
      <c r="G51" s="192"/>
      <c r="H51" s="193">
        <v>20.32</v>
      </c>
      <c r="I51" s="170">
        <v>8</v>
      </c>
      <c r="J51" s="160">
        <f t="shared" ca="1" si="6"/>
        <v>46387</v>
      </c>
      <c r="K51" s="164">
        <f t="shared" ca="1" si="5"/>
        <v>2026</v>
      </c>
      <c r="L51" s="165">
        <f t="shared" ca="1" si="7"/>
        <v>190.23</v>
      </c>
      <c r="M51" s="165">
        <f t="shared" ca="1" si="8"/>
        <v>169.91</v>
      </c>
      <c r="N51" s="165">
        <f>0</f>
        <v>0</v>
      </c>
      <c r="O51" s="171">
        <f t="shared" ca="1" si="9"/>
        <v>20.32</v>
      </c>
      <c r="P51" s="145">
        <v>8</v>
      </c>
      <c r="Q51" s="74">
        <v>46387</v>
      </c>
      <c r="R51" s="75">
        <v>2026</v>
      </c>
      <c r="S51" s="75">
        <v>190.23</v>
      </c>
      <c r="T51" s="75">
        <v>169.91</v>
      </c>
      <c r="U51" s="63"/>
      <c r="V51" s="75">
        <v>20.32</v>
      </c>
      <c r="W51" s="76" t="s">
        <v>1104</v>
      </c>
      <c r="X51" s="90">
        <v>8</v>
      </c>
      <c r="Y51" s="91">
        <v>46387</v>
      </c>
      <c r="Z51" s="92">
        <v>2026</v>
      </c>
      <c r="AA51" s="129">
        <v>190.25</v>
      </c>
      <c r="AB51" s="129">
        <v>169.93</v>
      </c>
      <c r="AC51" s="92"/>
      <c r="AD51" s="130">
        <v>20.32</v>
      </c>
      <c r="AE51" s="128" t="s">
        <v>1104</v>
      </c>
      <c r="AF51" s="61">
        <v>8</v>
      </c>
      <c r="AG51" s="62">
        <v>46387</v>
      </c>
      <c r="AH51" s="63">
        <v>2026</v>
      </c>
      <c r="AI51" s="63">
        <v>190.23</v>
      </c>
      <c r="AJ51" s="63">
        <v>169.91</v>
      </c>
      <c r="AK51" s="63"/>
      <c r="AL51" s="63">
        <v>20.32</v>
      </c>
      <c r="AM51" s="94" t="s">
        <v>1104</v>
      </c>
      <c r="AN51" s="45"/>
      <c r="AO51" s="45"/>
      <c r="AP51" s="45"/>
      <c r="AQ51" s="45"/>
      <c r="AR51" s="45"/>
    </row>
    <row r="52" spans="1:44" ht="60">
      <c r="A52" s="297"/>
      <c r="B52" s="189" t="s">
        <v>1084</v>
      </c>
      <c r="C52" s="190">
        <v>46418</v>
      </c>
      <c r="D52" s="191">
        <v>2027</v>
      </c>
      <c r="E52" s="192">
        <v>190.23</v>
      </c>
      <c r="F52" s="192">
        <v>170.38</v>
      </c>
      <c r="G52" s="192"/>
      <c r="H52" s="193">
        <v>19.850000000000001</v>
      </c>
      <c r="I52" s="170">
        <v>9</v>
      </c>
      <c r="J52" s="160">
        <f t="shared" ca="1" si="6"/>
        <v>46418</v>
      </c>
      <c r="K52" s="164">
        <f t="shared" ca="1" si="5"/>
        <v>2027</v>
      </c>
      <c r="L52" s="165">
        <f t="shared" ca="1" si="7"/>
        <v>190.23</v>
      </c>
      <c r="M52" s="165">
        <f ca="1">ROUND(L52-O52,2)</f>
        <v>170.38</v>
      </c>
      <c r="N52" s="165">
        <f>0</f>
        <v>0</v>
      </c>
      <c r="O52" s="171">
        <f t="shared" ca="1" si="9"/>
        <v>19.850000000000001</v>
      </c>
      <c r="P52" s="145">
        <v>9</v>
      </c>
      <c r="Q52" s="74">
        <v>46418</v>
      </c>
      <c r="R52" s="75">
        <v>2027</v>
      </c>
      <c r="S52" s="75">
        <v>190.23</v>
      </c>
      <c r="T52" s="75">
        <v>170.38</v>
      </c>
      <c r="U52" s="63"/>
      <c r="V52" s="75">
        <v>19.850000000000001</v>
      </c>
      <c r="W52" s="76" t="s">
        <v>1104</v>
      </c>
      <c r="X52" s="90">
        <v>9</v>
      </c>
      <c r="Y52" s="91">
        <v>46418</v>
      </c>
      <c r="Z52" s="92">
        <v>2027</v>
      </c>
      <c r="AA52" s="129">
        <v>190.25</v>
      </c>
      <c r="AB52" s="129">
        <v>170.4</v>
      </c>
      <c r="AC52" s="92"/>
      <c r="AD52" s="130">
        <v>19.850000000000001</v>
      </c>
      <c r="AE52" s="128" t="s">
        <v>1104</v>
      </c>
      <c r="AF52" s="61">
        <v>9</v>
      </c>
      <c r="AG52" s="62">
        <v>46418</v>
      </c>
      <c r="AH52" s="63">
        <v>2027</v>
      </c>
      <c r="AI52" s="63">
        <v>190.23</v>
      </c>
      <c r="AJ52" s="63">
        <v>170.38</v>
      </c>
      <c r="AK52" s="63"/>
      <c r="AL52" s="63">
        <v>19.850000000000001</v>
      </c>
      <c r="AM52" s="94" t="s">
        <v>1104</v>
      </c>
      <c r="AN52" s="45"/>
      <c r="AO52" s="45"/>
      <c r="AP52" s="45"/>
      <c r="AQ52" s="45"/>
      <c r="AR52" s="45"/>
    </row>
    <row r="53" spans="1:44" ht="60">
      <c r="A53" s="297"/>
      <c r="B53" s="189" t="s">
        <v>1085</v>
      </c>
      <c r="C53" s="190">
        <v>46446</v>
      </c>
      <c r="D53" s="191">
        <v>2027</v>
      </c>
      <c r="E53" s="192">
        <v>190.23</v>
      </c>
      <c r="F53" s="192">
        <v>170.85</v>
      </c>
      <c r="G53" s="192"/>
      <c r="H53" s="193">
        <v>19.38</v>
      </c>
      <c r="I53" s="170">
        <v>10</v>
      </c>
      <c r="J53" s="160">
        <f t="shared" ca="1" si="6"/>
        <v>46446</v>
      </c>
      <c r="K53" s="164">
        <f t="shared" ca="1" si="5"/>
        <v>2027</v>
      </c>
      <c r="L53" s="165">
        <f t="shared" ca="1" si="7"/>
        <v>190.23</v>
      </c>
      <c r="M53" s="165">
        <f t="shared" ca="1" si="8"/>
        <v>170.85</v>
      </c>
      <c r="N53" s="165">
        <f>0</f>
        <v>0</v>
      </c>
      <c r="O53" s="171">
        <f t="shared" ca="1" si="9"/>
        <v>19.38</v>
      </c>
      <c r="P53" s="145">
        <v>10</v>
      </c>
      <c r="Q53" s="74">
        <v>46446</v>
      </c>
      <c r="R53" s="75">
        <v>2027</v>
      </c>
      <c r="S53" s="75">
        <v>190.23</v>
      </c>
      <c r="T53" s="75">
        <v>170.85</v>
      </c>
      <c r="U53" s="63"/>
      <c r="V53" s="75">
        <v>19.38</v>
      </c>
      <c r="W53" s="76" t="s">
        <v>1104</v>
      </c>
      <c r="X53" s="90">
        <v>10</v>
      </c>
      <c r="Y53" s="91">
        <v>46446</v>
      </c>
      <c r="Z53" s="92">
        <v>2027</v>
      </c>
      <c r="AA53" s="129">
        <v>190.25</v>
      </c>
      <c r="AB53" s="129">
        <v>170.87</v>
      </c>
      <c r="AC53" s="92"/>
      <c r="AD53" s="130">
        <v>19.38</v>
      </c>
      <c r="AE53" s="128" t="s">
        <v>1104</v>
      </c>
      <c r="AF53" s="61">
        <v>10</v>
      </c>
      <c r="AG53" s="62">
        <v>46446</v>
      </c>
      <c r="AH53" s="63">
        <v>2027</v>
      </c>
      <c r="AI53" s="63">
        <v>190.23</v>
      </c>
      <c r="AJ53" s="63">
        <v>170.85</v>
      </c>
      <c r="AK53" s="63"/>
      <c r="AL53" s="63">
        <v>19.38</v>
      </c>
      <c r="AM53" s="94" t="s">
        <v>1104</v>
      </c>
      <c r="AN53" s="45"/>
      <c r="AO53" s="45"/>
      <c r="AP53" s="45"/>
      <c r="AQ53" s="45"/>
      <c r="AR53" s="45"/>
    </row>
    <row r="54" spans="1:44" ht="60">
      <c r="A54" s="297"/>
      <c r="B54" s="189" t="s">
        <v>1086</v>
      </c>
      <c r="C54" s="190">
        <v>46477</v>
      </c>
      <c r="D54" s="191">
        <v>2027</v>
      </c>
      <c r="E54" s="192">
        <v>190.23</v>
      </c>
      <c r="F54" s="192">
        <v>171.33</v>
      </c>
      <c r="G54" s="192"/>
      <c r="H54" s="193">
        <v>18.899999999999999</v>
      </c>
      <c r="I54" s="170">
        <v>11</v>
      </c>
      <c r="J54" s="160">
        <f t="shared" ca="1" si="6"/>
        <v>46477</v>
      </c>
      <c r="K54" s="164">
        <f t="shared" ca="1" si="5"/>
        <v>2027</v>
      </c>
      <c r="L54" s="165">
        <f t="shared" ca="1" si="7"/>
        <v>190.23</v>
      </c>
      <c r="M54" s="165">
        <f t="shared" ca="1" si="8"/>
        <v>171.33</v>
      </c>
      <c r="N54" s="165">
        <f>0</f>
        <v>0</v>
      </c>
      <c r="O54" s="171">
        <f t="shared" ca="1" si="9"/>
        <v>18.899999999999999</v>
      </c>
      <c r="P54" s="145">
        <v>11</v>
      </c>
      <c r="Q54" s="74">
        <v>46477</v>
      </c>
      <c r="R54" s="75">
        <v>2027</v>
      </c>
      <c r="S54" s="75">
        <v>190.23</v>
      </c>
      <c r="T54" s="75">
        <v>171.33</v>
      </c>
      <c r="U54" s="63"/>
      <c r="V54" s="75">
        <v>18.899999999999999</v>
      </c>
      <c r="W54" s="76" t="s">
        <v>1104</v>
      </c>
      <c r="X54" s="90">
        <v>11</v>
      </c>
      <c r="Y54" s="91">
        <v>46477</v>
      </c>
      <c r="Z54" s="92">
        <v>2027</v>
      </c>
      <c r="AA54" s="129">
        <v>190.25</v>
      </c>
      <c r="AB54" s="129">
        <v>171.35</v>
      </c>
      <c r="AC54" s="92"/>
      <c r="AD54" s="130">
        <v>18.899999999999999</v>
      </c>
      <c r="AE54" s="128" t="s">
        <v>1104</v>
      </c>
      <c r="AF54" s="61">
        <v>11</v>
      </c>
      <c r="AG54" s="62">
        <v>46477</v>
      </c>
      <c r="AH54" s="63">
        <v>2027</v>
      </c>
      <c r="AI54" s="63">
        <v>190.23</v>
      </c>
      <c r="AJ54" s="63">
        <v>171.33</v>
      </c>
      <c r="AK54" s="63"/>
      <c r="AL54" s="63">
        <v>18.899999999999999</v>
      </c>
      <c r="AM54" s="94" t="s">
        <v>1104</v>
      </c>
      <c r="AN54" s="45"/>
      <c r="AO54" s="45"/>
      <c r="AP54" s="45"/>
      <c r="AQ54" s="45"/>
      <c r="AR54" s="45"/>
    </row>
    <row r="55" spans="1:44" ht="60">
      <c r="A55" s="297"/>
      <c r="B55" s="189" t="s">
        <v>1087</v>
      </c>
      <c r="C55" s="190">
        <v>46507</v>
      </c>
      <c r="D55" s="191">
        <v>2027</v>
      </c>
      <c r="E55" s="192">
        <v>190.23</v>
      </c>
      <c r="F55" s="192">
        <v>171.8</v>
      </c>
      <c r="G55" s="192"/>
      <c r="H55" s="193">
        <v>18.43</v>
      </c>
      <c r="I55" s="170">
        <v>12</v>
      </c>
      <c r="J55" s="160">
        <f t="shared" ca="1" si="6"/>
        <v>46507</v>
      </c>
      <c r="K55" s="164">
        <f t="shared" ca="1" si="5"/>
        <v>2027</v>
      </c>
      <c r="L55" s="165">
        <f t="shared" ca="1" si="7"/>
        <v>190.23</v>
      </c>
      <c r="M55" s="165">
        <f t="shared" ca="1" si="8"/>
        <v>171.8</v>
      </c>
      <c r="N55" s="165">
        <f>0</f>
        <v>0</v>
      </c>
      <c r="O55" s="171">
        <f t="shared" ca="1" si="9"/>
        <v>18.43</v>
      </c>
      <c r="P55" s="145">
        <v>12</v>
      </c>
      <c r="Q55" s="74">
        <v>46507</v>
      </c>
      <c r="R55" s="75">
        <v>2027</v>
      </c>
      <c r="S55" s="75">
        <v>190.23</v>
      </c>
      <c r="T55" s="75">
        <v>171.8</v>
      </c>
      <c r="U55" s="63"/>
      <c r="V55" s="75">
        <v>18.43</v>
      </c>
      <c r="W55" s="76" t="s">
        <v>1104</v>
      </c>
      <c r="X55" s="90">
        <v>12</v>
      </c>
      <c r="Y55" s="91">
        <v>46507</v>
      </c>
      <c r="Z55" s="92">
        <v>2027</v>
      </c>
      <c r="AA55" s="129">
        <v>190.25</v>
      </c>
      <c r="AB55" s="129">
        <v>171.82</v>
      </c>
      <c r="AC55" s="92"/>
      <c r="AD55" s="130">
        <v>18.43</v>
      </c>
      <c r="AE55" s="128" t="s">
        <v>1104</v>
      </c>
      <c r="AF55" s="61">
        <v>12</v>
      </c>
      <c r="AG55" s="62">
        <v>46507</v>
      </c>
      <c r="AH55" s="63">
        <v>2027</v>
      </c>
      <c r="AI55" s="63">
        <v>190.23</v>
      </c>
      <c r="AJ55" s="63">
        <v>171.8</v>
      </c>
      <c r="AK55" s="63"/>
      <c r="AL55" s="63">
        <v>18.43</v>
      </c>
      <c r="AM55" s="94" t="s">
        <v>1104</v>
      </c>
      <c r="AN55" s="45"/>
      <c r="AO55" s="45"/>
      <c r="AP55" s="45"/>
      <c r="AQ55" s="45"/>
      <c r="AR55" s="45"/>
    </row>
    <row r="56" spans="1:44" ht="60">
      <c r="A56" s="297"/>
      <c r="B56" s="189" t="s">
        <v>1088</v>
      </c>
      <c r="C56" s="190">
        <v>46538</v>
      </c>
      <c r="D56" s="191">
        <v>2027</v>
      </c>
      <c r="E56" s="192">
        <v>190.23</v>
      </c>
      <c r="F56" s="192">
        <v>172.28</v>
      </c>
      <c r="G56" s="192"/>
      <c r="H56" s="193">
        <v>17.95</v>
      </c>
      <c r="I56" s="170">
        <v>13</v>
      </c>
      <c r="J56" s="160">
        <f t="shared" ca="1" si="6"/>
        <v>46538</v>
      </c>
      <c r="K56" s="164">
        <f t="shared" ca="1" si="5"/>
        <v>2027</v>
      </c>
      <c r="L56" s="165">
        <f t="shared" ca="1" si="7"/>
        <v>190.23</v>
      </c>
      <c r="M56" s="165">
        <f t="shared" ca="1" si="8"/>
        <v>172.28</v>
      </c>
      <c r="N56" s="165">
        <f>0</f>
        <v>0</v>
      </c>
      <c r="O56" s="171">
        <f t="shared" ca="1" si="9"/>
        <v>17.95</v>
      </c>
      <c r="P56" s="145">
        <v>13</v>
      </c>
      <c r="Q56" s="74">
        <v>46538</v>
      </c>
      <c r="R56" s="75">
        <v>2027</v>
      </c>
      <c r="S56" s="75">
        <v>190.23</v>
      </c>
      <c r="T56" s="75">
        <v>172.28</v>
      </c>
      <c r="U56" s="63"/>
      <c r="V56" s="75">
        <v>17.95</v>
      </c>
      <c r="W56" s="76" t="s">
        <v>1104</v>
      </c>
      <c r="X56" s="90">
        <v>13</v>
      </c>
      <c r="Y56" s="91">
        <v>46538</v>
      </c>
      <c r="Z56" s="92">
        <v>2027</v>
      </c>
      <c r="AA56" s="129">
        <v>190.25</v>
      </c>
      <c r="AB56" s="238">
        <v>172.3</v>
      </c>
      <c r="AC56" s="92"/>
      <c r="AD56" s="130">
        <v>17.95</v>
      </c>
      <c r="AE56" s="128" t="s">
        <v>1104</v>
      </c>
      <c r="AF56" s="61">
        <v>13</v>
      </c>
      <c r="AG56" s="62">
        <v>46538</v>
      </c>
      <c r="AH56" s="63">
        <v>2027</v>
      </c>
      <c r="AI56" s="63">
        <v>190.23</v>
      </c>
      <c r="AJ56" s="63">
        <v>172.28</v>
      </c>
      <c r="AK56" s="63"/>
      <c r="AL56" s="63">
        <v>17.95</v>
      </c>
      <c r="AM56" s="94" t="s">
        <v>1104</v>
      </c>
      <c r="AN56" s="45"/>
      <c r="AO56" s="45"/>
      <c r="AP56" s="45"/>
      <c r="AQ56" s="45"/>
      <c r="AR56" s="45"/>
    </row>
    <row r="57" spans="1:44" ht="60">
      <c r="A57" s="297"/>
      <c r="B57" s="189" t="s">
        <v>1089</v>
      </c>
      <c r="C57" s="190">
        <v>46568</v>
      </c>
      <c r="D57" s="191">
        <v>2027</v>
      </c>
      <c r="E57" s="192">
        <v>190.23</v>
      </c>
      <c r="F57" s="192">
        <v>172.76</v>
      </c>
      <c r="G57" s="192"/>
      <c r="H57" s="193">
        <v>17.47</v>
      </c>
      <c r="I57" s="170">
        <v>14</v>
      </c>
      <c r="J57" s="160">
        <f t="shared" ca="1" si="6"/>
        <v>46568</v>
      </c>
      <c r="K57" s="164">
        <f t="shared" ca="1" si="5"/>
        <v>2027</v>
      </c>
      <c r="L57" s="165">
        <f t="shared" ca="1" si="7"/>
        <v>190.23</v>
      </c>
      <c r="M57" s="165">
        <f t="shared" ca="1" si="8"/>
        <v>172.76</v>
      </c>
      <c r="N57" s="165">
        <f>0</f>
        <v>0</v>
      </c>
      <c r="O57" s="171">
        <f t="shared" ca="1" si="9"/>
        <v>17.47</v>
      </c>
      <c r="P57" s="145">
        <v>14</v>
      </c>
      <c r="Q57" s="74">
        <v>46568</v>
      </c>
      <c r="R57" s="75">
        <v>2027</v>
      </c>
      <c r="S57" s="75">
        <v>190.23</v>
      </c>
      <c r="T57" s="75">
        <v>172.76</v>
      </c>
      <c r="U57" s="63"/>
      <c r="V57" s="75">
        <v>17.47</v>
      </c>
      <c r="W57" s="76" t="s">
        <v>1104</v>
      </c>
      <c r="X57" s="90">
        <v>14</v>
      </c>
      <c r="Y57" s="91">
        <v>46568</v>
      </c>
      <c r="Z57" s="92">
        <v>2027</v>
      </c>
      <c r="AA57" s="129">
        <v>190.25</v>
      </c>
      <c r="AB57" s="129">
        <v>172.78</v>
      </c>
      <c r="AC57" s="92"/>
      <c r="AD57" s="130">
        <v>17.47</v>
      </c>
      <c r="AE57" s="128" t="s">
        <v>1104</v>
      </c>
      <c r="AF57" s="61">
        <v>14</v>
      </c>
      <c r="AG57" s="62">
        <v>46568</v>
      </c>
      <c r="AH57" s="63">
        <v>2027</v>
      </c>
      <c r="AI57" s="63">
        <v>190.23</v>
      </c>
      <c r="AJ57" s="63">
        <v>172.76</v>
      </c>
      <c r="AK57" s="63"/>
      <c r="AL57" s="63">
        <v>17.47</v>
      </c>
      <c r="AM57" s="94" t="s">
        <v>1104</v>
      </c>
      <c r="AN57" s="45"/>
      <c r="AO57" s="45"/>
      <c r="AP57" s="45"/>
      <c r="AQ57" s="45"/>
      <c r="AR57" s="45"/>
    </row>
    <row r="58" spans="1:44" ht="60">
      <c r="A58" s="297"/>
      <c r="B58" s="189" t="s">
        <v>1090</v>
      </c>
      <c r="C58" s="190">
        <v>46599</v>
      </c>
      <c r="D58" s="191">
        <v>2027</v>
      </c>
      <c r="E58" s="192">
        <v>190.23</v>
      </c>
      <c r="F58" s="192">
        <v>173.23</v>
      </c>
      <c r="G58" s="192"/>
      <c r="H58" s="193">
        <v>17</v>
      </c>
      <c r="I58" s="170">
        <v>15</v>
      </c>
      <c r="J58" s="160">
        <f t="shared" ca="1" si="6"/>
        <v>46599</v>
      </c>
      <c r="K58" s="164">
        <f t="shared" ca="1" si="5"/>
        <v>2027</v>
      </c>
      <c r="L58" s="165">
        <f t="shared" ca="1" si="7"/>
        <v>190.23</v>
      </c>
      <c r="M58" s="165">
        <f t="shared" ca="1" si="8"/>
        <v>173.23</v>
      </c>
      <c r="N58" s="165">
        <f>0</f>
        <v>0</v>
      </c>
      <c r="O58" s="171">
        <f t="shared" ca="1" si="9"/>
        <v>17</v>
      </c>
      <c r="P58" s="145">
        <v>15</v>
      </c>
      <c r="Q58" s="74">
        <v>46599</v>
      </c>
      <c r="R58" s="75">
        <v>2027</v>
      </c>
      <c r="S58" s="75">
        <v>190.23</v>
      </c>
      <c r="T58" s="75">
        <v>173.23</v>
      </c>
      <c r="U58" s="63"/>
      <c r="V58" s="75">
        <v>17</v>
      </c>
      <c r="W58" s="76" t="s">
        <v>1104</v>
      </c>
      <c r="X58" s="90">
        <v>15</v>
      </c>
      <c r="Y58" s="91">
        <v>46599</v>
      </c>
      <c r="Z58" s="92">
        <v>2027</v>
      </c>
      <c r="AA58" s="129">
        <v>190.25</v>
      </c>
      <c r="AB58" s="129">
        <v>173.26</v>
      </c>
      <c r="AC58" s="92"/>
      <c r="AD58" s="131">
        <v>16.989999999999998</v>
      </c>
      <c r="AE58" s="128" t="s">
        <v>1104</v>
      </c>
      <c r="AF58" s="61">
        <v>15</v>
      </c>
      <c r="AG58" s="62">
        <v>46599</v>
      </c>
      <c r="AH58" s="63">
        <v>2027</v>
      </c>
      <c r="AI58" s="63">
        <v>190.23</v>
      </c>
      <c r="AJ58" s="63">
        <v>173.23</v>
      </c>
      <c r="AK58" s="63"/>
      <c r="AL58" s="63">
        <v>17</v>
      </c>
      <c r="AM58" s="94" t="s">
        <v>1104</v>
      </c>
      <c r="AN58" s="45"/>
      <c r="AO58" s="45"/>
      <c r="AP58" s="45"/>
      <c r="AQ58" s="45"/>
      <c r="AR58" s="45"/>
    </row>
    <row r="59" spans="1:44" ht="60">
      <c r="A59" s="297"/>
      <c r="B59" s="189" t="s">
        <v>1091</v>
      </c>
      <c r="C59" s="190">
        <v>46630</v>
      </c>
      <c r="D59" s="191">
        <v>2027</v>
      </c>
      <c r="E59" s="192">
        <v>190.23</v>
      </c>
      <c r="F59" s="192">
        <v>173.72</v>
      </c>
      <c r="G59" s="192"/>
      <c r="H59" s="193">
        <v>16.510000000000002</v>
      </c>
      <c r="I59" s="170">
        <v>16</v>
      </c>
      <c r="J59" s="160">
        <f t="shared" ca="1" si="6"/>
        <v>46630</v>
      </c>
      <c r="K59" s="164">
        <f t="shared" ca="1" si="5"/>
        <v>2027</v>
      </c>
      <c r="L59" s="165">
        <f t="shared" ca="1" si="7"/>
        <v>190.23</v>
      </c>
      <c r="M59" s="165">
        <f t="shared" ca="1" si="8"/>
        <v>173.72</v>
      </c>
      <c r="N59" s="165">
        <f>0</f>
        <v>0</v>
      </c>
      <c r="O59" s="171">
        <f t="shared" ca="1" si="9"/>
        <v>16.510000000000002</v>
      </c>
      <c r="P59" s="145">
        <v>16</v>
      </c>
      <c r="Q59" s="74">
        <v>46630</v>
      </c>
      <c r="R59" s="75">
        <v>2027</v>
      </c>
      <c r="S59" s="75">
        <v>190.23</v>
      </c>
      <c r="T59" s="75">
        <v>173.72</v>
      </c>
      <c r="U59" s="63"/>
      <c r="V59" s="75">
        <v>16.510000000000002</v>
      </c>
      <c r="W59" s="76" t="s">
        <v>1104</v>
      </c>
      <c r="X59" s="90">
        <v>16</v>
      </c>
      <c r="Y59" s="91">
        <v>46630</v>
      </c>
      <c r="Z59" s="92">
        <v>2027</v>
      </c>
      <c r="AA59" s="129">
        <v>190.25</v>
      </c>
      <c r="AB59" s="129">
        <v>173.74</v>
      </c>
      <c r="AC59" s="92"/>
      <c r="AD59" s="130">
        <v>16.510000000000002</v>
      </c>
      <c r="AE59" s="128" t="s">
        <v>1104</v>
      </c>
      <c r="AF59" s="61">
        <v>16</v>
      </c>
      <c r="AG59" s="62">
        <v>46630</v>
      </c>
      <c r="AH59" s="63">
        <v>2027</v>
      </c>
      <c r="AI59" s="63">
        <v>190.23</v>
      </c>
      <c r="AJ59" s="63">
        <v>173.72</v>
      </c>
      <c r="AK59" s="63"/>
      <c r="AL59" s="63">
        <v>16.510000000000002</v>
      </c>
      <c r="AM59" s="94" t="s">
        <v>1104</v>
      </c>
      <c r="AN59" s="45"/>
      <c r="AO59" s="45"/>
      <c r="AP59" s="45"/>
      <c r="AQ59" s="45"/>
      <c r="AR59" s="45"/>
    </row>
    <row r="60" spans="1:44" ht="60">
      <c r="A60" s="297"/>
      <c r="B60" s="189" t="s">
        <v>1092</v>
      </c>
      <c r="C60" s="190">
        <v>46660</v>
      </c>
      <c r="D60" s="191">
        <v>2027</v>
      </c>
      <c r="E60" s="192">
        <v>190.23</v>
      </c>
      <c r="F60" s="192">
        <v>174.2</v>
      </c>
      <c r="G60" s="192"/>
      <c r="H60" s="193">
        <v>16.03</v>
      </c>
      <c r="I60" s="170">
        <v>17</v>
      </c>
      <c r="J60" s="160">
        <f t="shared" ca="1" si="6"/>
        <v>46660</v>
      </c>
      <c r="K60" s="164">
        <f t="shared" ca="1" si="5"/>
        <v>2027</v>
      </c>
      <c r="L60" s="165">
        <f t="shared" ca="1" si="7"/>
        <v>190.23</v>
      </c>
      <c r="M60" s="165">
        <f t="shared" ca="1" si="8"/>
        <v>174.2</v>
      </c>
      <c r="N60" s="165">
        <f>0</f>
        <v>0</v>
      </c>
      <c r="O60" s="171">
        <f t="shared" ca="1" si="9"/>
        <v>16.03</v>
      </c>
      <c r="P60" s="145">
        <v>17</v>
      </c>
      <c r="Q60" s="74">
        <v>46660</v>
      </c>
      <c r="R60" s="75">
        <v>2027</v>
      </c>
      <c r="S60" s="75">
        <v>190.23</v>
      </c>
      <c r="T60" s="75">
        <v>174.2</v>
      </c>
      <c r="U60" s="63"/>
      <c r="V60" s="75">
        <v>16.03</v>
      </c>
      <c r="W60" s="76" t="s">
        <v>1104</v>
      </c>
      <c r="X60" s="90">
        <v>17</v>
      </c>
      <c r="Y60" s="91">
        <v>46660</v>
      </c>
      <c r="Z60" s="92">
        <v>2027</v>
      </c>
      <c r="AA60" s="129">
        <v>190.25</v>
      </c>
      <c r="AB60" s="129">
        <v>174.22</v>
      </c>
      <c r="AC60" s="92"/>
      <c r="AD60" s="130">
        <v>16.03</v>
      </c>
      <c r="AE60" s="128" t="s">
        <v>1104</v>
      </c>
      <c r="AF60" s="61">
        <v>17</v>
      </c>
      <c r="AG60" s="62">
        <v>46660</v>
      </c>
      <c r="AH60" s="63">
        <v>2027</v>
      </c>
      <c r="AI60" s="63">
        <v>190.23</v>
      </c>
      <c r="AJ60" s="63">
        <v>174.2</v>
      </c>
      <c r="AK60" s="63"/>
      <c r="AL60" s="63">
        <v>16.03</v>
      </c>
      <c r="AM60" s="94" t="s">
        <v>1104</v>
      </c>
      <c r="AN60" s="45"/>
      <c r="AO60" s="45"/>
      <c r="AP60" s="45"/>
      <c r="AQ60" s="45"/>
      <c r="AR60" s="45"/>
    </row>
    <row r="61" spans="1:44" ht="60">
      <c r="A61" s="297"/>
      <c r="B61" s="189" t="s">
        <v>1093</v>
      </c>
      <c r="C61" s="190">
        <v>46691</v>
      </c>
      <c r="D61" s="191">
        <v>2027</v>
      </c>
      <c r="E61" s="192">
        <v>190.23</v>
      </c>
      <c r="F61" s="192">
        <v>174.68</v>
      </c>
      <c r="G61" s="192"/>
      <c r="H61" s="193">
        <v>15.55</v>
      </c>
      <c r="I61" s="170">
        <v>18</v>
      </c>
      <c r="J61" s="160">
        <f t="shared" ca="1" si="6"/>
        <v>46691</v>
      </c>
      <c r="K61" s="164">
        <f t="shared" ca="1" si="5"/>
        <v>2027</v>
      </c>
      <c r="L61" s="165">
        <f t="shared" ca="1" si="7"/>
        <v>190.23</v>
      </c>
      <c r="M61" s="165">
        <f t="shared" ca="1" si="8"/>
        <v>174.68</v>
      </c>
      <c r="N61" s="165">
        <f>0</f>
        <v>0</v>
      </c>
      <c r="O61" s="171">
        <f t="shared" ca="1" si="9"/>
        <v>15.55</v>
      </c>
      <c r="P61" s="145">
        <v>18</v>
      </c>
      <c r="Q61" s="74">
        <v>46691</v>
      </c>
      <c r="R61" s="75">
        <v>2027</v>
      </c>
      <c r="S61" s="75">
        <v>190.23</v>
      </c>
      <c r="T61" s="75">
        <v>174.68</v>
      </c>
      <c r="U61" s="63"/>
      <c r="V61" s="75">
        <v>15.55</v>
      </c>
      <c r="W61" s="76" t="s">
        <v>1104</v>
      </c>
      <c r="X61" s="90">
        <v>18</v>
      </c>
      <c r="Y61" s="91">
        <v>46691</v>
      </c>
      <c r="Z61" s="92">
        <v>2027</v>
      </c>
      <c r="AA61" s="129">
        <v>190.25</v>
      </c>
      <c r="AB61" s="129">
        <v>174.7</v>
      </c>
      <c r="AC61" s="92"/>
      <c r="AD61" s="130">
        <v>15.55</v>
      </c>
      <c r="AE61" s="128" t="s">
        <v>1104</v>
      </c>
      <c r="AF61" s="61">
        <v>18</v>
      </c>
      <c r="AG61" s="62">
        <v>46691</v>
      </c>
      <c r="AH61" s="63">
        <v>2027</v>
      </c>
      <c r="AI61" s="63">
        <v>190.23</v>
      </c>
      <c r="AJ61" s="63">
        <v>174.68</v>
      </c>
      <c r="AK61" s="63"/>
      <c r="AL61" s="63">
        <v>15.55</v>
      </c>
      <c r="AM61" s="94" t="s">
        <v>1104</v>
      </c>
      <c r="AN61" s="45"/>
      <c r="AO61" s="45"/>
      <c r="AP61" s="45"/>
      <c r="AQ61" s="45"/>
      <c r="AR61" s="45"/>
    </row>
    <row r="62" spans="1:44" ht="60">
      <c r="A62" s="297"/>
      <c r="B62" s="189" t="s">
        <v>1094</v>
      </c>
      <c r="C62" s="190">
        <v>46721</v>
      </c>
      <c r="D62" s="191">
        <v>2027</v>
      </c>
      <c r="E62" s="192">
        <v>190.23</v>
      </c>
      <c r="F62" s="192">
        <v>175.17</v>
      </c>
      <c r="G62" s="192"/>
      <c r="H62" s="193">
        <v>15.06</v>
      </c>
      <c r="I62" s="170">
        <v>19</v>
      </c>
      <c r="J62" s="160">
        <f t="shared" ca="1" si="6"/>
        <v>46721</v>
      </c>
      <c r="K62" s="164">
        <f t="shared" ca="1" si="5"/>
        <v>2027</v>
      </c>
      <c r="L62" s="165">
        <f t="shared" ca="1" si="7"/>
        <v>190.23</v>
      </c>
      <c r="M62" s="165">
        <f t="shared" ca="1" si="8"/>
        <v>175.17</v>
      </c>
      <c r="N62" s="165">
        <f>0</f>
        <v>0</v>
      </c>
      <c r="O62" s="171">
        <f t="shared" ca="1" si="9"/>
        <v>15.06</v>
      </c>
      <c r="P62" s="145">
        <v>19</v>
      </c>
      <c r="Q62" s="74">
        <v>46721</v>
      </c>
      <c r="R62" s="75">
        <v>2027</v>
      </c>
      <c r="S62" s="75">
        <v>190.23</v>
      </c>
      <c r="T62" s="75">
        <v>175.17</v>
      </c>
      <c r="U62" s="63"/>
      <c r="V62" s="75">
        <v>15.06</v>
      </c>
      <c r="W62" s="76" t="s">
        <v>1104</v>
      </c>
      <c r="X62" s="90">
        <v>19</v>
      </c>
      <c r="Y62" s="91">
        <v>46721</v>
      </c>
      <c r="Z62" s="92">
        <v>2027</v>
      </c>
      <c r="AA62" s="129">
        <v>190.25</v>
      </c>
      <c r="AB62" s="129">
        <v>175.19</v>
      </c>
      <c r="AC62" s="92"/>
      <c r="AD62" s="130">
        <v>15.06</v>
      </c>
      <c r="AE62" s="128" t="s">
        <v>1104</v>
      </c>
      <c r="AF62" s="61">
        <v>19</v>
      </c>
      <c r="AG62" s="62">
        <v>46721</v>
      </c>
      <c r="AH62" s="63">
        <v>2027</v>
      </c>
      <c r="AI62" s="63">
        <v>190.23</v>
      </c>
      <c r="AJ62" s="63">
        <v>175.17</v>
      </c>
      <c r="AK62" s="63"/>
      <c r="AL62" s="63">
        <v>15.06</v>
      </c>
      <c r="AM62" s="94" t="s">
        <v>1104</v>
      </c>
      <c r="AN62" s="45"/>
      <c r="AO62" s="45"/>
      <c r="AP62" s="45"/>
      <c r="AQ62" s="45"/>
      <c r="AR62" s="45"/>
    </row>
    <row r="63" spans="1:44" ht="60">
      <c r="A63" s="297"/>
      <c r="B63" s="189" t="s">
        <v>1095</v>
      </c>
      <c r="C63" s="190">
        <v>46752</v>
      </c>
      <c r="D63" s="191">
        <v>2027</v>
      </c>
      <c r="E63" s="192">
        <v>190.23</v>
      </c>
      <c r="F63" s="192">
        <v>175.65</v>
      </c>
      <c r="G63" s="192"/>
      <c r="H63" s="193">
        <v>14.58</v>
      </c>
      <c r="I63" s="170">
        <v>20</v>
      </c>
      <c r="J63" s="160">
        <f t="shared" ca="1" si="6"/>
        <v>46752</v>
      </c>
      <c r="K63" s="164">
        <f t="shared" ca="1" si="5"/>
        <v>2027</v>
      </c>
      <c r="L63" s="165">
        <f t="shared" ca="1" si="7"/>
        <v>190.23</v>
      </c>
      <c r="M63" s="165">
        <f t="shared" ca="1" si="8"/>
        <v>175.65</v>
      </c>
      <c r="N63" s="165">
        <f>0</f>
        <v>0</v>
      </c>
      <c r="O63" s="171">
        <f t="shared" ca="1" si="9"/>
        <v>14.58</v>
      </c>
      <c r="P63" s="145">
        <v>20</v>
      </c>
      <c r="Q63" s="74">
        <v>46752</v>
      </c>
      <c r="R63" s="75">
        <v>2027</v>
      </c>
      <c r="S63" s="75">
        <v>190.23</v>
      </c>
      <c r="T63" s="75">
        <v>175.65</v>
      </c>
      <c r="U63" s="63"/>
      <c r="V63" s="75">
        <v>14.58</v>
      </c>
      <c r="W63" s="76" t="s">
        <v>1104</v>
      </c>
      <c r="X63" s="90">
        <v>20</v>
      </c>
      <c r="Y63" s="91">
        <v>46752</v>
      </c>
      <c r="Z63" s="92">
        <v>2027</v>
      </c>
      <c r="AA63" s="129">
        <v>190.25</v>
      </c>
      <c r="AB63" s="129">
        <v>175.67</v>
      </c>
      <c r="AC63" s="92"/>
      <c r="AD63" s="130">
        <v>14.58</v>
      </c>
      <c r="AE63" s="128" t="s">
        <v>1104</v>
      </c>
      <c r="AF63" s="61">
        <v>20</v>
      </c>
      <c r="AG63" s="62">
        <v>46752</v>
      </c>
      <c r="AH63" s="63">
        <v>2027</v>
      </c>
      <c r="AI63" s="63">
        <v>190.23</v>
      </c>
      <c r="AJ63" s="63">
        <v>175.65</v>
      </c>
      <c r="AK63" s="63"/>
      <c r="AL63" s="63">
        <v>14.58</v>
      </c>
      <c r="AM63" s="94" t="s">
        <v>1104</v>
      </c>
      <c r="AN63" s="45"/>
      <c r="AO63" s="45"/>
      <c r="AP63" s="45"/>
      <c r="AQ63" s="45"/>
      <c r="AR63" s="45"/>
    </row>
    <row r="64" spans="1:44" ht="60">
      <c r="A64" s="297"/>
      <c r="B64" s="189" t="s">
        <v>1096</v>
      </c>
      <c r="C64" s="190">
        <v>46783</v>
      </c>
      <c r="D64" s="191">
        <v>2028</v>
      </c>
      <c r="E64" s="192">
        <v>190.23</v>
      </c>
      <c r="F64" s="192">
        <v>176.14</v>
      </c>
      <c r="G64" s="192"/>
      <c r="H64" s="193">
        <v>14.09</v>
      </c>
      <c r="I64" s="170">
        <v>21</v>
      </c>
      <c r="J64" s="160">
        <f t="shared" ca="1" si="6"/>
        <v>46783</v>
      </c>
      <c r="K64" s="164">
        <f t="shared" ca="1" si="5"/>
        <v>2028</v>
      </c>
      <c r="L64" s="165">
        <f t="shared" ca="1" si="7"/>
        <v>190.23</v>
      </c>
      <c r="M64" s="165">
        <f t="shared" ca="1" si="8"/>
        <v>176.14</v>
      </c>
      <c r="N64" s="165">
        <f>0</f>
        <v>0</v>
      </c>
      <c r="O64" s="171">
        <f t="shared" ca="1" si="9"/>
        <v>14.09</v>
      </c>
      <c r="P64" s="145">
        <v>21</v>
      </c>
      <c r="Q64" s="74">
        <v>46783</v>
      </c>
      <c r="R64" s="75">
        <v>2028</v>
      </c>
      <c r="S64" s="75">
        <v>190.23</v>
      </c>
      <c r="T64" s="75">
        <v>176.14</v>
      </c>
      <c r="U64" s="63"/>
      <c r="V64" s="75">
        <v>14.09</v>
      </c>
      <c r="W64" s="76" t="s">
        <v>1104</v>
      </c>
      <c r="X64" s="90">
        <v>21</v>
      </c>
      <c r="Y64" s="91">
        <v>46783</v>
      </c>
      <c r="Z64" s="92">
        <v>2028</v>
      </c>
      <c r="AA64" s="129">
        <v>190.25</v>
      </c>
      <c r="AB64" s="129">
        <v>176.16</v>
      </c>
      <c r="AC64" s="92"/>
      <c r="AD64" s="130">
        <v>14.09</v>
      </c>
      <c r="AE64" s="128" t="s">
        <v>1104</v>
      </c>
      <c r="AF64" s="61">
        <v>21</v>
      </c>
      <c r="AG64" s="62">
        <v>46783</v>
      </c>
      <c r="AH64" s="63">
        <v>2028</v>
      </c>
      <c r="AI64" s="63">
        <v>190.23</v>
      </c>
      <c r="AJ64" s="63">
        <v>176.14</v>
      </c>
      <c r="AK64" s="63"/>
      <c r="AL64" s="63">
        <v>14.09</v>
      </c>
      <c r="AM64" s="94" t="s">
        <v>1104</v>
      </c>
      <c r="AN64" s="45"/>
      <c r="AO64" s="45"/>
      <c r="AP64" s="45"/>
      <c r="AQ64" s="45"/>
      <c r="AR64" s="45"/>
    </row>
    <row r="65" spans="1:44" ht="60">
      <c r="A65" s="297"/>
      <c r="B65" s="189" t="s">
        <v>1097</v>
      </c>
      <c r="C65" s="190">
        <v>46812</v>
      </c>
      <c r="D65" s="191">
        <v>2028</v>
      </c>
      <c r="E65" s="192">
        <v>190.23</v>
      </c>
      <c r="F65" s="192">
        <v>176.63</v>
      </c>
      <c r="G65" s="192"/>
      <c r="H65" s="193">
        <v>13.6</v>
      </c>
      <c r="I65" s="170">
        <v>22</v>
      </c>
      <c r="J65" s="160">
        <f ca="1">EOMONTH($M$58,I65)</f>
        <v>46812</v>
      </c>
      <c r="K65" s="164">
        <f t="shared" ca="1" si="5"/>
        <v>2028</v>
      </c>
      <c r="L65" s="165">
        <f t="shared" ca="1" si="7"/>
        <v>190.23</v>
      </c>
      <c r="M65" s="165">
        <f t="shared" ca="1" si="8"/>
        <v>176.63</v>
      </c>
      <c r="N65" s="165">
        <f>0</f>
        <v>0</v>
      </c>
      <c r="O65" s="171">
        <f t="shared" ca="1" si="9"/>
        <v>13.6</v>
      </c>
      <c r="P65" s="145">
        <v>22</v>
      </c>
      <c r="Q65" s="74">
        <v>46812</v>
      </c>
      <c r="R65" s="75">
        <v>2028</v>
      </c>
      <c r="S65" s="75">
        <v>190.23</v>
      </c>
      <c r="T65" s="75">
        <v>176.63</v>
      </c>
      <c r="U65" s="63"/>
      <c r="V65" s="75">
        <v>13.6</v>
      </c>
      <c r="W65" s="76" t="s">
        <v>1104</v>
      </c>
      <c r="X65" s="90">
        <v>22</v>
      </c>
      <c r="Y65" s="91">
        <v>46812</v>
      </c>
      <c r="Z65" s="92">
        <v>2028</v>
      </c>
      <c r="AA65" s="129">
        <v>190.25</v>
      </c>
      <c r="AB65" s="129">
        <v>176.65</v>
      </c>
      <c r="AC65" s="92"/>
      <c r="AD65" s="130">
        <v>13.6</v>
      </c>
      <c r="AE65" s="128" t="s">
        <v>1104</v>
      </c>
      <c r="AF65" s="61">
        <v>22</v>
      </c>
      <c r="AG65" s="62">
        <v>46812</v>
      </c>
      <c r="AH65" s="63">
        <v>2028</v>
      </c>
      <c r="AI65" s="63">
        <v>190.23</v>
      </c>
      <c r="AJ65" s="63">
        <v>176.63</v>
      </c>
      <c r="AK65" s="63"/>
      <c r="AL65" s="63">
        <v>13.6</v>
      </c>
      <c r="AM65" s="94" t="s">
        <v>1104</v>
      </c>
      <c r="AN65" s="45"/>
      <c r="AO65" s="45"/>
      <c r="AP65" s="45"/>
      <c r="AQ65" s="45"/>
      <c r="AR65" s="45"/>
    </row>
    <row r="66" spans="1:44" ht="60">
      <c r="A66" s="297"/>
      <c r="B66" s="189" t="s">
        <v>1098</v>
      </c>
      <c r="C66" s="190">
        <v>46843</v>
      </c>
      <c r="D66" s="191">
        <v>2028</v>
      </c>
      <c r="E66" s="192">
        <v>190.23</v>
      </c>
      <c r="F66" s="192">
        <v>177.12</v>
      </c>
      <c r="G66" s="192"/>
      <c r="H66" s="193">
        <v>13.11</v>
      </c>
      <c r="I66" s="170">
        <v>23</v>
      </c>
      <c r="J66" s="160">
        <f t="shared" ca="1" si="6"/>
        <v>46843</v>
      </c>
      <c r="K66" s="164">
        <f t="shared" ca="1" si="5"/>
        <v>2028</v>
      </c>
      <c r="L66" s="165">
        <f t="shared" ca="1" si="7"/>
        <v>190.23</v>
      </c>
      <c r="M66" s="165">
        <f t="shared" ca="1" si="8"/>
        <v>177.12</v>
      </c>
      <c r="N66" s="165">
        <f>0</f>
        <v>0</v>
      </c>
      <c r="O66" s="171">
        <f t="shared" ca="1" si="9"/>
        <v>13.11</v>
      </c>
      <c r="P66" s="145">
        <v>23</v>
      </c>
      <c r="Q66" s="74">
        <v>46843</v>
      </c>
      <c r="R66" s="75">
        <v>2028</v>
      </c>
      <c r="S66" s="75">
        <v>190.23</v>
      </c>
      <c r="T66" s="75">
        <v>177.12</v>
      </c>
      <c r="U66" s="63"/>
      <c r="V66" s="75">
        <v>13.11</v>
      </c>
      <c r="W66" s="76" t="s">
        <v>1104</v>
      </c>
      <c r="X66" s="90">
        <v>23</v>
      </c>
      <c r="Y66" s="91">
        <v>46843</v>
      </c>
      <c r="Z66" s="92">
        <v>2028</v>
      </c>
      <c r="AA66" s="129">
        <v>190.25</v>
      </c>
      <c r="AB66" s="129">
        <v>177.14</v>
      </c>
      <c r="AC66" s="92"/>
      <c r="AD66" s="130">
        <v>13.11</v>
      </c>
      <c r="AE66" s="128" t="s">
        <v>1104</v>
      </c>
      <c r="AF66" s="61">
        <v>23</v>
      </c>
      <c r="AG66" s="62">
        <v>46843</v>
      </c>
      <c r="AH66" s="63">
        <v>2028</v>
      </c>
      <c r="AI66" s="63">
        <v>190.23</v>
      </c>
      <c r="AJ66" s="63">
        <v>177.12</v>
      </c>
      <c r="AK66" s="63"/>
      <c r="AL66" s="63">
        <v>13.11</v>
      </c>
      <c r="AM66" s="94" t="s">
        <v>1104</v>
      </c>
      <c r="AN66" s="45"/>
      <c r="AO66" s="45"/>
      <c r="AP66" s="45"/>
      <c r="AQ66" s="45"/>
      <c r="AR66" s="45"/>
    </row>
    <row r="67" spans="1:44" ht="60">
      <c r="A67" s="297"/>
      <c r="B67" s="189" t="s">
        <v>1099</v>
      </c>
      <c r="C67" s="190">
        <v>46873</v>
      </c>
      <c r="D67" s="191">
        <v>2028</v>
      </c>
      <c r="E67" s="192">
        <v>190.23</v>
      </c>
      <c r="F67" s="192">
        <v>177.61</v>
      </c>
      <c r="G67" s="192"/>
      <c r="H67" s="193">
        <v>12.62</v>
      </c>
      <c r="I67" s="170">
        <v>24</v>
      </c>
      <c r="J67" s="160">
        <f t="shared" ca="1" si="6"/>
        <v>46873</v>
      </c>
      <c r="K67" s="164">
        <f t="shared" ca="1" si="5"/>
        <v>2028</v>
      </c>
      <c r="L67" s="165">
        <f t="shared" ca="1" si="7"/>
        <v>190.23</v>
      </c>
      <c r="M67" s="165">
        <f t="shared" ca="1" si="8"/>
        <v>177.61</v>
      </c>
      <c r="N67" s="165">
        <f>0</f>
        <v>0</v>
      </c>
      <c r="O67" s="171">
        <f t="shared" ca="1" si="9"/>
        <v>12.62</v>
      </c>
      <c r="P67" s="145">
        <v>24</v>
      </c>
      <c r="Q67" s="74">
        <v>46873</v>
      </c>
      <c r="R67" s="75">
        <v>2028</v>
      </c>
      <c r="S67" s="75">
        <v>190.23</v>
      </c>
      <c r="T67" s="75">
        <v>177.61</v>
      </c>
      <c r="U67" s="63"/>
      <c r="V67" s="75">
        <v>12.62</v>
      </c>
      <c r="W67" s="76" t="s">
        <v>1104</v>
      </c>
      <c r="X67" s="90">
        <v>24</v>
      </c>
      <c r="Y67" s="91">
        <v>46873</v>
      </c>
      <c r="Z67" s="92">
        <v>2028</v>
      </c>
      <c r="AA67" s="129">
        <v>190.25</v>
      </c>
      <c r="AB67" s="129">
        <v>177.63</v>
      </c>
      <c r="AC67" s="92"/>
      <c r="AD67" s="130">
        <v>12.62</v>
      </c>
      <c r="AE67" s="128" t="s">
        <v>1104</v>
      </c>
      <c r="AF67" s="61">
        <v>24</v>
      </c>
      <c r="AG67" s="62">
        <v>46873</v>
      </c>
      <c r="AH67" s="63">
        <v>2028</v>
      </c>
      <c r="AI67" s="63">
        <v>190.23</v>
      </c>
      <c r="AJ67" s="63">
        <v>177.61</v>
      </c>
      <c r="AK67" s="63"/>
      <c r="AL67" s="63">
        <v>12.62</v>
      </c>
      <c r="AM67" s="94" t="s">
        <v>1104</v>
      </c>
      <c r="AN67" s="45"/>
      <c r="AO67" s="45"/>
      <c r="AP67" s="45"/>
      <c r="AQ67" s="45"/>
      <c r="AR67" s="45"/>
    </row>
    <row r="68" spans="1:44" ht="60">
      <c r="A68" s="297"/>
      <c r="B68" s="189" t="s">
        <v>1111</v>
      </c>
      <c r="C68" s="190">
        <v>46904</v>
      </c>
      <c r="D68" s="191">
        <v>2028</v>
      </c>
      <c r="E68" s="192">
        <v>190.23</v>
      </c>
      <c r="F68" s="192">
        <v>178.1</v>
      </c>
      <c r="G68" s="192"/>
      <c r="H68" s="193">
        <v>12.13</v>
      </c>
      <c r="I68" s="170">
        <v>25</v>
      </c>
      <c r="J68" s="160">
        <f t="shared" ca="1" si="6"/>
        <v>46904</v>
      </c>
      <c r="K68" s="164">
        <f t="shared" ca="1" si="5"/>
        <v>2028</v>
      </c>
      <c r="L68" s="165">
        <f t="shared" ca="1" si="7"/>
        <v>190.23</v>
      </c>
      <c r="M68" s="165">
        <f t="shared" ca="1" si="8"/>
        <v>178.1</v>
      </c>
      <c r="N68" s="165">
        <f>0</f>
        <v>0</v>
      </c>
      <c r="O68" s="171">
        <f t="shared" ca="1" si="9"/>
        <v>12.13</v>
      </c>
      <c r="P68" s="145">
        <v>25</v>
      </c>
      <c r="Q68" s="74">
        <v>46904</v>
      </c>
      <c r="R68" s="75">
        <v>2028</v>
      </c>
      <c r="S68" s="75">
        <v>190.23</v>
      </c>
      <c r="T68" s="75">
        <v>178.1</v>
      </c>
      <c r="U68" s="63"/>
      <c r="V68" s="75">
        <v>12.13</v>
      </c>
      <c r="W68" s="76" t="s">
        <v>1104</v>
      </c>
      <c r="X68" s="90">
        <v>25</v>
      </c>
      <c r="Y68" s="91">
        <v>46904</v>
      </c>
      <c r="Z68" s="92">
        <v>2028</v>
      </c>
      <c r="AA68" s="129">
        <v>190.25</v>
      </c>
      <c r="AB68" s="129">
        <v>178.12</v>
      </c>
      <c r="AC68" s="92"/>
      <c r="AD68" s="130">
        <v>12.13</v>
      </c>
      <c r="AE68" s="128" t="s">
        <v>1104</v>
      </c>
      <c r="AF68" s="61">
        <v>25</v>
      </c>
      <c r="AG68" s="62">
        <v>46904</v>
      </c>
      <c r="AH68" s="63">
        <v>2028</v>
      </c>
      <c r="AI68" s="63">
        <v>190.23</v>
      </c>
      <c r="AJ68" s="63">
        <v>178.1</v>
      </c>
      <c r="AK68" s="63"/>
      <c r="AL68" s="63">
        <v>12.13</v>
      </c>
      <c r="AM68" s="94" t="s">
        <v>1104</v>
      </c>
      <c r="AN68" s="45"/>
      <c r="AO68" s="45"/>
      <c r="AP68" s="45"/>
      <c r="AQ68" s="45"/>
      <c r="AR68" s="45"/>
    </row>
    <row r="69" spans="1:44" ht="60">
      <c r="A69" s="297"/>
      <c r="B69" s="189" t="s">
        <v>1112</v>
      </c>
      <c r="C69" s="190">
        <v>46934</v>
      </c>
      <c r="D69" s="191">
        <v>2028</v>
      </c>
      <c r="E69" s="192">
        <v>190.23</v>
      </c>
      <c r="F69" s="192">
        <v>178.6</v>
      </c>
      <c r="G69" s="192"/>
      <c r="H69" s="193">
        <v>11.63</v>
      </c>
      <c r="I69" s="170">
        <v>26</v>
      </c>
      <c r="J69" s="160">
        <f t="shared" ca="1" si="6"/>
        <v>46934</v>
      </c>
      <c r="K69" s="164">
        <f t="shared" ca="1" si="5"/>
        <v>2028</v>
      </c>
      <c r="L69" s="165">
        <f t="shared" ca="1" si="7"/>
        <v>190.23</v>
      </c>
      <c r="M69" s="165">
        <f t="shared" ca="1" si="8"/>
        <v>178.6</v>
      </c>
      <c r="N69" s="165">
        <f>0</f>
        <v>0</v>
      </c>
      <c r="O69" s="171">
        <f t="shared" ca="1" si="9"/>
        <v>11.63</v>
      </c>
      <c r="P69" s="145">
        <v>26</v>
      </c>
      <c r="Q69" s="74">
        <v>46934</v>
      </c>
      <c r="R69" s="75">
        <v>2028</v>
      </c>
      <c r="S69" s="75">
        <v>190.23</v>
      </c>
      <c r="T69" s="75">
        <v>178.6</v>
      </c>
      <c r="U69" s="63"/>
      <c r="V69" s="75">
        <v>11.63</v>
      </c>
      <c r="W69" s="76" t="s">
        <v>1104</v>
      </c>
      <c r="X69" s="90">
        <v>26</v>
      </c>
      <c r="Y69" s="91">
        <v>46934</v>
      </c>
      <c r="Z69" s="92">
        <v>2028</v>
      </c>
      <c r="AA69" s="129">
        <v>190.25</v>
      </c>
      <c r="AB69" s="129">
        <v>178.62</v>
      </c>
      <c r="AC69" s="92"/>
      <c r="AD69" s="130">
        <v>11.63</v>
      </c>
      <c r="AE69" s="128" t="s">
        <v>1104</v>
      </c>
      <c r="AF69" s="61">
        <v>26</v>
      </c>
      <c r="AG69" s="62">
        <v>46934</v>
      </c>
      <c r="AH69" s="63">
        <v>2028</v>
      </c>
      <c r="AI69" s="63">
        <v>190.23</v>
      </c>
      <c r="AJ69" s="63">
        <v>178.6</v>
      </c>
      <c r="AK69" s="63"/>
      <c r="AL69" s="63">
        <v>11.63</v>
      </c>
      <c r="AM69" s="94" t="s">
        <v>1104</v>
      </c>
      <c r="AN69" s="45"/>
      <c r="AO69" s="45"/>
      <c r="AP69" s="45"/>
      <c r="AQ69" s="45"/>
      <c r="AR69" s="45"/>
    </row>
    <row r="70" spans="1:44" ht="60">
      <c r="A70" s="297"/>
      <c r="B70" s="189" t="s">
        <v>1113</v>
      </c>
      <c r="C70" s="190">
        <v>46965</v>
      </c>
      <c r="D70" s="191">
        <v>2028</v>
      </c>
      <c r="E70" s="192">
        <v>190.23</v>
      </c>
      <c r="F70" s="192">
        <v>179.09</v>
      </c>
      <c r="G70" s="192"/>
      <c r="H70" s="193">
        <v>11.14</v>
      </c>
      <c r="I70" s="170">
        <v>27</v>
      </c>
      <c r="J70" s="160">
        <f t="shared" ca="1" si="6"/>
        <v>46965</v>
      </c>
      <c r="K70" s="164">
        <f t="shared" ca="1" si="5"/>
        <v>2028</v>
      </c>
      <c r="L70" s="165">
        <f t="shared" ca="1" si="7"/>
        <v>190.23</v>
      </c>
      <c r="M70" s="165">
        <f t="shared" ca="1" si="8"/>
        <v>179.09</v>
      </c>
      <c r="N70" s="165">
        <f>0</f>
        <v>0</v>
      </c>
      <c r="O70" s="171">
        <f t="shared" ca="1" si="9"/>
        <v>11.14</v>
      </c>
      <c r="P70" s="145">
        <v>27</v>
      </c>
      <c r="Q70" s="74">
        <v>46965</v>
      </c>
      <c r="R70" s="75">
        <v>2028</v>
      </c>
      <c r="S70" s="75">
        <v>190.23</v>
      </c>
      <c r="T70" s="75">
        <v>179.09</v>
      </c>
      <c r="U70" s="63"/>
      <c r="V70" s="75">
        <v>11.14</v>
      </c>
      <c r="W70" s="76" t="s">
        <v>1104</v>
      </c>
      <c r="X70" s="90">
        <v>27</v>
      </c>
      <c r="Y70" s="91">
        <v>46965</v>
      </c>
      <c r="Z70" s="92">
        <v>2028</v>
      </c>
      <c r="AA70" s="129">
        <v>190.25</v>
      </c>
      <c r="AB70" s="129">
        <v>179.11</v>
      </c>
      <c r="AC70" s="92"/>
      <c r="AD70" s="130">
        <v>11.14</v>
      </c>
      <c r="AE70" s="128" t="s">
        <v>1104</v>
      </c>
      <c r="AF70" s="61">
        <v>27</v>
      </c>
      <c r="AG70" s="62">
        <v>46965</v>
      </c>
      <c r="AH70" s="63">
        <v>2028</v>
      </c>
      <c r="AI70" s="63">
        <v>190.23</v>
      </c>
      <c r="AJ70" s="63">
        <v>179.09</v>
      </c>
      <c r="AK70" s="63"/>
      <c r="AL70" s="63">
        <v>11.14</v>
      </c>
      <c r="AM70" s="94" t="s">
        <v>1104</v>
      </c>
      <c r="AN70" s="45"/>
      <c r="AO70" s="45"/>
      <c r="AP70" s="45"/>
      <c r="AQ70" s="45"/>
      <c r="AR70" s="45"/>
    </row>
    <row r="71" spans="1:44" ht="60">
      <c r="A71" s="297"/>
      <c r="B71" s="189" t="s">
        <v>1114</v>
      </c>
      <c r="C71" s="190">
        <v>46996</v>
      </c>
      <c r="D71" s="191">
        <v>2028</v>
      </c>
      <c r="E71" s="192">
        <v>190.23</v>
      </c>
      <c r="F71" s="192">
        <v>179.59</v>
      </c>
      <c r="G71" s="192"/>
      <c r="H71" s="193">
        <v>10.64</v>
      </c>
      <c r="I71" s="170">
        <v>28</v>
      </c>
      <c r="J71" s="160">
        <f t="shared" ca="1" si="6"/>
        <v>46996</v>
      </c>
      <c r="K71" s="164">
        <f t="shared" ca="1" si="5"/>
        <v>2028</v>
      </c>
      <c r="L71" s="165">
        <f t="shared" ca="1" si="7"/>
        <v>190.23</v>
      </c>
      <c r="M71" s="165">
        <f t="shared" ca="1" si="8"/>
        <v>179.59</v>
      </c>
      <c r="N71" s="165">
        <f>0</f>
        <v>0</v>
      </c>
      <c r="O71" s="171">
        <f t="shared" ca="1" si="9"/>
        <v>10.64</v>
      </c>
      <c r="P71" s="145">
        <v>28</v>
      </c>
      <c r="Q71" s="74">
        <v>46996</v>
      </c>
      <c r="R71" s="75">
        <v>2028</v>
      </c>
      <c r="S71" s="75">
        <v>190.23</v>
      </c>
      <c r="T71" s="75">
        <v>179.59</v>
      </c>
      <c r="U71" s="63"/>
      <c r="V71" s="75">
        <v>10.64</v>
      </c>
      <c r="W71" s="76" t="s">
        <v>1104</v>
      </c>
      <c r="X71" s="90">
        <v>28</v>
      </c>
      <c r="Y71" s="91">
        <v>46996</v>
      </c>
      <c r="Z71" s="92">
        <v>2028</v>
      </c>
      <c r="AA71" s="129">
        <v>190.25</v>
      </c>
      <c r="AB71" s="129">
        <v>179.61</v>
      </c>
      <c r="AC71" s="92"/>
      <c r="AD71" s="130">
        <v>10.64</v>
      </c>
      <c r="AE71" s="128" t="s">
        <v>1104</v>
      </c>
      <c r="AF71" s="61">
        <v>28</v>
      </c>
      <c r="AG71" s="62">
        <v>46996</v>
      </c>
      <c r="AH71" s="63">
        <v>2028</v>
      </c>
      <c r="AI71" s="63">
        <v>190.23</v>
      </c>
      <c r="AJ71" s="63">
        <v>179.59</v>
      </c>
      <c r="AK71" s="63"/>
      <c r="AL71" s="63">
        <v>10.64</v>
      </c>
      <c r="AM71" s="94" t="s">
        <v>1104</v>
      </c>
      <c r="AN71" s="45"/>
      <c r="AO71" s="45"/>
      <c r="AP71" s="45"/>
      <c r="AQ71" s="45"/>
      <c r="AR71" s="45"/>
    </row>
    <row r="72" spans="1:44" ht="60">
      <c r="A72" s="297"/>
      <c r="B72" s="189" t="s">
        <v>1115</v>
      </c>
      <c r="C72" s="190">
        <v>47026</v>
      </c>
      <c r="D72" s="191">
        <v>2028</v>
      </c>
      <c r="E72" s="192">
        <v>190.23</v>
      </c>
      <c r="F72" s="192">
        <v>180.09</v>
      </c>
      <c r="G72" s="192"/>
      <c r="H72" s="193">
        <v>10.14</v>
      </c>
      <c r="I72" s="170">
        <v>29</v>
      </c>
      <c r="J72" s="160">
        <f t="shared" ca="1" si="6"/>
        <v>47026</v>
      </c>
      <c r="K72" s="164">
        <f t="shared" ca="1" si="5"/>
        <v>2028</v>
      </c>
      <c r="L72" s="165">
        <f t="shared" ca="1" si="7"/>
        <v>190.23</v>
      </c>
      <c r="M72" s="165">
        <f t="shared" ca="1" si="8"/>
        <v>180.09</v>
      </c>
      <c r="N72" s="165">
        <f>0</f>
        <v>0</v>
      </c>
      <c r="O72" s="171">
        <f t="shared" ca="1" si="9"/>
        <v>10.14</v>
      </c>
      <c r="P72" s="145">
        <v>29</v>
      </c>
      <c r="Q72" s="74">
        <v>47026</v>
      </c>
      <c r="R72" s="75">
        <v>2028</v>
      </c>
      <c r="S72" s="75">
        <v>190.23</v>
      </c>
      <c r="T72" s="75">
        <v>180.09</v>
      </c>
      <c r="U72" s="63"/>
      <c r="V72" s="75">
        <v>10.14</v>
      </c>
      <c r="W72" s="76" t="s">
        <v>1104</v>
      </c>
      <c r="X72" s="90">
        <v>29</v>
      </c>
      <c r="Y72" s="91">
        <v>47026</v>
      </c>
      <c r="Z72" s="92">
        <v>2028</v>
      </c>
      <c r="AA72" s="129">
        <v>190.25</v>
      </c>
      <c r="AB72" s="129">
        <v>180.11</v>
      </c>
      <c r="AC72" s="92"/>
      <c r="AD72" s="130">
        <v>10.14</v>
      </c>
      <c r="AE72" s="128" t="s">
        <v>1104</v>
      </c>
      <c r="AF72" s="61">
        <v>29</v>
      </c>
      <c r="AG72" s="62">
        <v>47026</v>
      </c>
      <c r="AH72" s="63">
        <v>2028</v>
      </c>
      <c r="AI72" s="63">
        <v>190.23</v>
      </c>
      <c r="AJ72" s="63">
        <v>180.09</v>
      </c>
      <c r="AK72" s="63"/>
      <c r="AL72" s="63">
        <v>10.14</v>
      </c>
      <c r="AM72" s="94" t="s">
        <v>1104</v>
      </c>
      <c r="AN72" s="45"/>
      <c r="AO72" s="45"/>
      <c r="AP72" s="45"/>
      <c r="AQ72" s="45"/>
      <c r="AR72" s="45"/>
    </row>
    <row r="73" spans="1:44" ht="60">
      <c r="A73" s="297"/>
      <c r="B73" s="189" t="s">
        <v>1116</v>
      </c>
      <c r="C73" s="190">
        <v>47057</v>
      </c>
      <c r="D73" s="191">
        <v>2028</v>
      </c>
      <c r="E73" s="192">
        <v>190.23</v>
      </c>
      <c r="F73" s="192">
        <v>180.59</v>
      </c>
      <c r="G73" s="192"/>
      <c r="H73" s="193">
        <v>9.64</v>
      </c>
      <c r="I73" s="170">
        <v>30</v>
      </c>
      <c r="J73" s="160">
        <f t="shared" ca="1" si="6"/>
        <v>47057</v>
      </c>
      <c r="K73" s="164">
        <f t="shared" ca="1" si="5"/>
        <v>2028</v>
      </c>
      <c r="L73" s="165">
        <f t="shared" ca="1" si="7"/>
        <v>190.23</v>
      </c>
      <c r="M73" s="165">
        <f t="shared" ca="1" si="8"/>
        <v>180.59</v>
      </c>
      <c r="N73" s="165">
        <f>0</f>
        <v>0</v>
      </c>
      <c r="O73" s="171">
        <f t="shared" ca="1" si="9"/>
        <v>9.64</v>
      </c>
      <c r="P73" s="145">
        <v>30</v>
      </c>
      <c r="Q73" s="74">
        <v>47057</v>
      </c>
      <c r="R73" s="75">
        <v>2028</v>
      </c>
      <c r="S73" s="75">
        <v>190.23</v>
      </c>
      <c r="T73" s="75">
        <v>180.59</v>
      </c>
      <c r="U73" s="63"/>
      <c r="V73" s="75">
        <v>9.64</v>
      </c>
      <c r="W73" s="76" t="s">
        <v>1104</v>
      </c>
      <c r="X73" s="90">
        <v>30</v>
      </c>
      <c r="Y73" s="91">
        <v>47057</v>
      </c>
      <c r="Z73" s="92">
        <v>2028</v>
      </c>
      <c r="AA73" s="129">
        <v>190.25</v>
      </c>
      <c r="AB73" s="129">
        <v>180.61</v>
      </c>
      <c r="AC73" s="92"/>
      <c r="AD73" s="130">
        <v>9.64</v>
      </c>
      <c r="AE73" s="128" t="s">
        <v>1104</v>
      </c>
      <c r="AF73" s="61">
        <v>30</v>
      </c>
      <c r="AG73" s="62">
        <v>47057</v>
      </c>
      <c r="AH73" s="63">
        <v>2028</v>
      </c>
      <c r="AI73" s="63">
        <v>190.23</v>
      </c>
      <c r="AJ73" s="63">
        <v>180.59</v>
      </c>
      <c r="AK73" s="63"/>
      <c r="AL73" s="63">
        <v>9.64</v>
      </c>
      <c r="AM73" s="94" t="s">
        <v>1104</v>
      </c>
      <c r="AN73" s="45"/>
      <c r="AO73" s="45"/>
      <c r="AP73" s="45"/>
      <c r="AQ73" s="45"/>
      <c r="AR73" s="45"/>
    </row>
    <row r="74" spans="1:44" ht="60">
      <c r="A74" s="297"/>
      <c r="B74" s="189" t="s">
        <v>1117</v>
      </c>
      <c r="C74" s="190">
        <v>47087</v>
      </c>
      <c r="D74" s="191">
        <v>2028</v>
      </c>
      <c r="E74" s="192">
        <v>190.23</v>
      </c>
      <c r="F74" s="192">
        <v>181.09</v>
      </c>
      <c r="G74" s="192"/>
      <c r="H74" s="193">
        <v>9.14</v>
      </c>
      <c r="I74" s="170">
        <v>31</v>
      </c>
      <c r="J74" s="160">
        <f t="shared" ca="1" si="6"/>
        <v>47087</v>
      </c>
      <c r="K74" s="164">
        <f t="shared" ca="1" si="5"/>
        <v>2028</v>
      </c>
      <c r="L74" s="165">
        <f t="shared" ca="1" si="7"/>
        <v>190.23</v>
      </c>
      <c r="M74" s="165">
        <f t="shared" ca="1" si="8"/>
        <v>181.09</v>
      </c>
      <c r="N74" s="165">
        <f>0</f>
        <v>0</v>
      </c>
      <c r="O74" s="171">
        <f t="shared" ca="1" si="9"/>
        <v>9.14</v>
      </c>
      <c r="P74" s="145">
        <v>31</v>
      </c>
      <c r="Q74" s="74">
        <v>47087</v>
      </c>
      <c r="R74" s="75">
        <v>2028</v>
      </c>
      <c r="S74" s="75">
        <v>190.23</v>
      </c>
      <c r="T74" s="75">
        <v>181.09</v>
      </c>
      <c r="U74" s="63"/>
      <c r="V74" s="75">
        <v>9.14</v>
      </c>
      <c r="W74" s="76" t="s">
        <v>1104</v>
      </c>
      <c r="X74" s="90">
        <v>31</v>
      </c>
      <c r="Y74" s="91">
        <v>47087</v>
      </c>
      <c r="Z74" s="92">
        <v>2028</v>
      </c>
      <c r="AA74" s="129">
        <v>190.25</v>
      </c>
      <c r="AB74" s="129">
        <v>181.11</v>
      </c>
      <c r="AC74" s="92"/>
      <c r="AD74" s="130">
        <v>9.14</v>
      </c>
      <c r="AE74" s="128" t="s">
        <v>1104</v>
      </c>
      <c r="AF74" s="61">
        <v>31</v>
      </c>
      <c r="AG74" s="62">
        <v>47087</v>
      </c>
      <c r="AH74" s="63">
        <v>2028</v>
      </c>
      <c r="AI74" s="63">
        <v>190.23</v>
      </c>
      <c r="AJ74" s="63">
        <v>181.09</v>
      </c>
      <c r="AK74" s="63"/>
      <c r="AL74" s="63">
        <v>9.14</v>
      </c>
      <c r="AM74" s="94" t="s">
        <v>1104</v>
      </c>
      <c r="AN74" s="45"/>
      <c r="AO74" s="45"/>
      <c r="AP74" s="45"/>
      <c r="AQ74" s="45"/>
      <c r="AR74" s="45"/>
    </row>
    <row r="75" spans="1:44" ht="60">
      <c r="A75" s="297"/>
      <c r="B75" s="189" t="s">
        <v>1118</v>
      </c>
      <c r="C75" s="190">
        <v>47118</v>
      </c>
      <c r="D75" s="191">
        <v>2028</v>
      </c>
      <c r="E75" s="192">
        <v>190.23</v>
      </c>
      <c r="F75" s="192">
        <v>181.59</v>
      </c>
      <c r="G75" s="192"/>
      <c r="H75" s="193">
        <v>8.64</v>
      </c>
      <c r="I75" s="170">
        <v>32</v>
      </c>
      <c r="J75" s="160">
        <f t="shared" ca="1" si="6"/>
        <v>47118</v>
      </c>
      <c r="K75" s="164">
        <f t="shared" ca="1" si="5"/>
        <v>2028</v>
      </c>
      <c r="L75" s="165">
        <f t="shared" ca="1" si="7"/>
        <v>190.23</v>
      </c>
      <c r="M75" s="165">
        <f t="shared" ca="1" si="8"/>
        <v>181.59</v>
      </c>
      <c r="N75" s="165">
        <f>0</f>
        <v>0</v>
      </c>
      <c r="O75" s="171">
        <f t="shared" ca="1" si="9"/>
        <v>8.64</v>
      </c>
      <c r="P75" s="145">
        <v>32</v>
      </c>
      <c r="Q75" s="74">
        <v>47118</v>
      </c>
      <c r="R75" s="75">
        <v>2028</v>
      </c>
      <c r="S75" s="75">
        <v>190.23</v>
      </c>
      <c r="T75" s="75">
        <v>181.59</v>
      </c>
      <c r="U75" s="63"/>
      <c r="V75" s="75">
        <v>8.64</v>
      </c>
      <c r="W75" s="76" t="s">
        <v>1104</v>
      </c>
      <c r="X75" s="90">
        <v>32</v>
      </c>
      <c r="Y75" s="91">
        <v>47118</v>
      </c>
      <c r="Z75" s="92">
        <v>2028</v>
      </c>
      <c r="AA75" s="129">
        <v>190.25</v>
      </c>
      <c r="AB75" s="129">
        <v>181.61</v>
      </c>
      <c r="AC75" s="92"/>
      <c r="AD75" s="130">
        <v>8.64</v>
      </c>
      <c r="AE75" s="128" t="s">
        <v>1104</v>
      </c>
      <c r="AF75" s="61">
        <v>32</v>
      </c>
      <c r="AG75" s="62">
        <v>47118</v>
      </c>
      <c r="AH75" s="63">
        <v>2028</v>
      </c>
      <c r="AI75" s="63">
        <v>190.23</v>
      </c>
      <c r="AJ75" s="63">
        <v>181.59</v>
      </c>
      <c r="AK75" s="63"/>
      <c r="AL75" s="63">
        <v>8.64</v>
      </c>
      <c r="AM75" s="94" t="s">
        <v>1104</v>
      </c>
      <c r="AN75" s="45"/>
      <c r="AO75" s="45"/>
      <c r="AP75" s="45"/>
      <c r="AQ75" s="45"/>
      <c r="AR75" s="45"/>
    </row>
    <row r="76" spans="1:44" ht="60">
      <c r="A76" s="297"/>
      <c r="B76" s="189" t="s">
        <v>1119</v>
      </c>
      <c r="C76" s="190">
        <v>47149</v>
      </c>
      <c r="D76" s="191">
        <v>2029</v>
      </c>
      <c r="E76" s="192">
        <v>190.23</v>
      </c>
      <c r="F76" s="192">
        <v>182.09</v>
      </c>
      <c r="G76" s="192"/>
      <c r="H76" s="193">
        <v>8.14</v>
      </c>
      <c r="I76" s="170">
        <v>33</v>
      </c>
      <c r="J76" s="160">
        <f t="shared" ca="1" si="6"/>
        <v>47149</v>
      </c>
      <c r="K76" s="164">
        <f t="shared" ca="1" si="5"/>
        <v>2029</v>
      </c>
      <c r="L76" s="165">
        <f t="shared" ca="1" si="7"/>
        <v>190.23</v>
      </c>
      <c r="M76" s="165">
        <f t="shared" ca="1" si="8"/>
        <v>182.09</v>
      </c>
      <c r="N76" s="165">
        <f>0</f>
        <v>0</v>
      </c>
      <c r="O76" s="171">
        <f t="shared" ca="1" si="9"/>
        <v>8.14</v>
      </c>
      <c r="P76" s="145">
        <v>33</v>
      </c>
      <c r="Q76" s="74">
        <v>47149</v>
      </c>
      <c r="R76" s="75">
        <v>2029</v>
      </c>
      <c r="S76" s="75">
        <v>190.23</v>
      </c>
      <c r="T76" s="75">
        <v>182.09</v>
      </c>
      <c r="U76" s="63"/>
      <c r="V76" s="75">
        <v>8.14</v>
      </c>
      <c r="W76" s="76" t="s">
        <v>1104</v>
      </c>
      <c r="X76" s="90">
        <v>33</v>
      </c>
      <c r="Y76" s="91">
        <v>47149</v>
      </c>
      <c r="Z76" s="92">
        <v>2029</v>
      </c>
      <c r="AA76" s="129">
        <v>190.25</v>
      </c>
      <c r="AB76" s="129">
        <v>182.12</v>
      </c>
      <c r="AC76" s="92"/>
      <c r="AD76" s="131">
        <v>8.1300000000000008</v>
      </c>
      <c r="AE76" s="128" t="s">
        <v>1104</v>
      </c>
      <c r="AF76" s="61">
        <v>33</v>
      </c>
      <c r="AG76" s="62">
        <v>47149</v>
      </c>
      <c r="AH76" s="63">
        <v>2029</v>
      </c>
      <c r="AI76" s="63">
        <v>190.23</v>
      </c>
      <c r="AJ76" s="63">
        <v>182.09</v>
      </c>
      <c r="AK76" s="63"/>
      <c r="AL76" s="63">
        <v>8.14</v>
      </c>
      <c r="AM76" s="94" t="s">
        <v>1104</v>
      </c>
      <c r="AN76" s="45"/>
      <c r="AO76" s="45"/>
      <c r="AP76" s="45"/>
      <c r="AQ76" s="45"/>
      <c r="AR76" s="45"/>
    </row>
    <row r="77" spans="1:44" ht="60">
      <c r="A77" s="297"/>
      <c r="B77" s="189" t="s">
        <v>1120</v>
      </c>
      <c r="C77" s="190">
        <v>47177</v>
      </c>
      <c r="D77" s="191">
        <v>2029</v>
      </c>
      <c r="E77" s="192">
        <v>190.23</v>
      </c>
      <c r="F77" s="192">
        <v>182.6</v>
      </c>
      <c r="G77" s="192"/>
      <c r="H77" s="193">
        <v>7.63</v>
      </c>
      <c r="I77" s="170">
        <v>34</v>
      </c>
      <c r="J77" s="160">
        <f t="shared" ca="1" si="6"/>
        <v>47177</v>
      </c>
      <c r="K77" s="164">
        <f t="shared" ca="1" si="5"/>
        <v>2029</v>
      </c>
      <c r="L77" s="165">
        <f t="shared" ca="1" si="7"/>
        <v>190.23</v>
      </c>
      <c r="M77" s="165">
        <f t="shared" ca="1" si="8"/>
        <v>182.6</v>
      </c>
      <c r="N77" s="165">
        <f>0</f>
        <v>0</v>
      </c>
      <c r="O77" s="171">
        <f t="shared" ca="1" si="9"/>
        <v>7.63</v>
      </c>
      <c r="P77" s="145">
        <v>34</v>
      </c>
      <c r="Q77" s="74">
        <v>47177</v>
      </c>
      <c r="R77" s="75">
        <v>2029</v>
      </c>
      <c r="S77" s="75">
        <v>190.23</v>
      </c>
      <c r="T77" s="75">
        <v>182.6</v>
      </c>
      <c r="U77" s="63"/>
      <c r="V77" s="75">
        <v>7.63</v>
      </c>
      <c r="W77" s="76" t="s">
        <v>1104</v>
      </c>
      <c r="X77" s="90">
        <v>34</v>
      </c>
      <c r="Y77" s="91">
        <v>47177</v>
      </c>
      <c r="Z77" s="92">
        <v>2029</v>
      </c>
      <c r="AA77" s="129">
        <v>190.25</v>
      </c>
      <c r="AB77" s="129">
        <v>182.62</v>
      </c>
      <c r="AC77" s="92"/>
      <c r="AD77" s="130">
        <v>7.63</v>
      </c>
      <c r="AE77" s="128" t="s">
        <v>1104</v>
      </c>
      <c r="AF77" s="61">
        <v>34</v>
      </c>
      <c r="AG77" s="62">
        <v>47177</v>
      </c>
      <c r="AH77" s="63">
        <v>2029</v>
      </c>
      <c r="AI77" s="63">
        <v>190.23</v>
      </c>
      <c r="AJ77" s="63">
        <v>182.6</v>
      </c>
      <c r="AK77" s="63"/>
      <c r="AL77" s="63">
        <v>7.63</v>
      </c>
      <c r="AM77" s="94" t="s">
        <v>1104</v>
      </c>
      <c r="AN77" s="45"/>
      <c r="AO77" s="45"/>
      <c r="AP77" s="45"/>
      <c r="AQ77" s="45"/>
      <c r="AR77" s="45"/>
    </row>
    <row r="78" spans="1:44" ht="60">
      <c r="A78" s="297"/>
      <c r="B78" s="189" t="s">
        <v>1121</v>
      </c>
      <c r="C78" s="190">
        <v>47208</v>
      </c>
      <c r="D78" s="191">
        <v>2029</v>
      </c>
      <c r="E78" s="192">
        <v>190.23</v>
      </c>
      <c r="F78" s="192">
        <v>183.11</v>
      </c>
      <c r="G78" s="192"/>
      <c r="H78" s="193">
        <v>7.12</v>
      </c>
      <c r="I78" s="170">
        <v>35</v>
      </c>
      <c r="J78" s="160">
        <f t="shared" ca="1" si="6"/>
        <v>47208</v>
      </c>
      <c r="K78" s="164">
        <f t="shared" ca="1" si="5"/>
        <v>2029</v>
      </c>
      <c r="L78" s="165">
        <f t="shared" ca="1" si="7"/>
        <v>190.23</v>
      </c>
      <c r="M78" s="165">
        <f t="shared" ca="1" si="8"/>
        <v>183.11</v>
      </c>
      <c r="N78" s="165">
        <f>0</f>
        <v>0</v>
      </c>
      <c r="O78" s="171">
        <f t="shared" ca="1" si="9"/>
        <v>7.12</v>
      </c>
      <c r="P78" s="145">
        <v>35</v>
      </c>
      <c r="Q78" s="74">
        <v>47208</v>
      </c>
      <c r="R78" s="75">
        <v>2029</v>
      </c>
      <c r="S78" s="75">
        <v>190.23</v>
      </c>
      <c r="T78" s="75">
        <v>183.11</v>
      </c>
      <c r="U78" s="63"/>
      <c r="V78" s="75">
        <v>7.12</v>
      </c>
      <c r="W78" s="76" t="s">
        <v>1104</v>
      </c>
      <c r="X78" s="90">
        <v>35</v>
      </c>
      <c r="Y78" s="91">
        <v>47208</v>
      </c>
      <c r="Z78" s="92">
        <v>2029</v>
      </c>
      <c r="AA78" s="129">
        <v>190.25</v>
      </c>
      <c r="AB78" s="129">
        <v>183.13</v>
      </c>
      <c r="AC78" s="92"/>
      <c r="AD78" s="130">
        <v>7.12</v>
      </c>
      <c r="AE78" s="128" t="s">
        <v>1104</v>
      </c>
      <c r="AF78" s="61">
        <v>35</v>
      </c>
      <c r="AG78" s="62">
        <v>47208</v>
      </c>
      <c r="AH78" s="63">
        <v>2029</v>
      </c>
      <c r="AI78" s="63">
        <v>190.23</v>
      </c>
      <c r="AJ78" s="63">
        <v>183.11</v>
      </c>
      <c r="AK78" s="63"/>
      <c r="AL78" s="63">
        <v>7.12</v>
      </c>
      <c r="AM78" s="94" t="s">
        <v>1104</v>
      </c>
      <c r="AN78" s="45"/>
      <c r="AO78" s="45"/>
      <c r="AP78" s="45"/>
      <c r="AQ78" s="45"/>
      <c r="AR78" s="45"/>
    </row>
    <row r="79" spans="1:44" ht="60">
      <c r="A79" s="297"/>
      <c r="B79" s="189" t="s">
        <v>1122</v>
      </c>
      <c r="C79" s="190">
        <v>47238</v>
      </c>
      <c r="D79" s="191">
        <v>2029</v>
      </c>
      <c r="E79" s="192">
        <v>190.36</v>
      </c>
      <c r="F79" s="192">
        <v>183.75</v>
      </c>
      <c r="G79" s="192"/>
      <c r="H79" s="193">
        <v>6.61</v>
      </c>
      <c r="I79" s="170">
        <v>36</v>
      </c>
      <c r="J79" s="160">
        <f t="shared" ca="1" si="6"/>
        <v>47238</v>
      </c>
      <c r="K79" s="164">
        <f t="shared" ca="1" si="5"/>
        <v>2029</v>
      </c>
      <c r="L79" s="165">
        <f ca="1">ROUND(M79+O79,2)</f>
        <v>190.36</v>
      </c>
      <c r="M79" s="165">
        <f ca="1">ROUND(P78-ROUND($M$59*$M$61,2),2)</f>
        <v>183.75</v>
      </c>
      <c r="N79" s="165">
        <f>0</f>
        <v>0</v>
      </c>
      <c r="O79" s="171">
        <f ca="1">ROUND(P78*($M$62/$M$64),2)</f>
        <v>6.61</v>
      </c>
      <c r="P79" s="145">
        <v>36</v>
      </c>
      <c r="Q79" s="74">
        <v>47238</v>
      </c>
      <c r="R79" s="75">
        <v>2029</v>
      </c>
      <c r="S79" s="75">
        <v>190.36</v>
      </c>
      <c r="T79" s="75">
        <v>183.75</v>
      </c>
      <c r="U79" s="63"/>
      <c r="V79" s="75">
        <v>6.61</v>
      </c>
      <c r="W79" s="76" t="s">
        <v>1104</v>
      </c>
      <c r="X79" s="90">
        <v>36</v>
      </c>
      <c r="Y79" s="91">
        <v>47238</v>
      </c>
      <c r="Z79" s="92">
        <v>2029</v>
      </c>
      <c r="AA79" s="237">
        <v>189.64</v>
      </c>
      <c r="AB79" s="129">
        <v>183.03</v>
      </c>
      <c r="AC79" s="92"/>
      <c r="AD79" s="130">
        <v>6.61</v>
      </c>
      <c r="AE79" s="128" t="s">
        <v>1104</v>
      </c>
      <c r="AF79" s="61">
        <v>36</v>
      </c>
      <c r="AG79" s="62">
        <v>47238</v>
      </c>
      <c r="AH79" s="63">
        <v>2029</v>
      </c>
      <c r="AI79" s="63">
        <v>190.36</v>
      </c>
      <c r="AJ79" s="63">
        <v>183.75</v>
      </c>
      <c r="AK79" s="63"/>
      <c r="AL79" s="63">
        <v>6.61</v>
      </c>
      <c r="AM79" s="94" t="s">
        <v>1104</v>
      </c>
      <c r="AN79" s="45"/>
      <c r="AO79" s="45"/>
      <c r="AP79" s="45"/>
      <c r="AQ79" s="45"/>
      <c r="AR79" s="45"/>
    </row>
    <row r="80" spans="1:44" ht="75.75" thickBot="1">
      <c r="A80" s="298"/>
      <c r="B80" s="194" t="s">
        <v>1100</v>
      </c>
      <c r="C80" s="195">
        <v>47238</v>
      </c>
      <c r="D80" s="196">
        <v>2029</v>
      </c>
      <c r="E80" s="197">
        <v>2200</v>
      </c>
      <c r="F80" s="197">
        <v>0</v>
      </c>
      <c r="G80" s="197">
        <v>2200</v>
      </c>
      <c r="H80" s="198">
        <v>0</v>
      </c>
      <c r="I80" s="150" t="s">
        <v>1074</v>
      </c>
      <c r="J80" s="172">
        <f ca="1">EOMONTH($M$58,I79)</f>
        <v>47238</v>
      </c>
      <c r="K80" s="173">
        <f ca="1">YEAR(J80)</f>
        <v>2029</v>
      </c>
      <c r="L80" s="174">
        <v>2200</v>
      </c>
      <c r="M80" s="174">
        <f>0</f>
        <v>0</v>
      </c>
      <c r="N80" s="174">
        <f ca="1">ROUND($M$59*$M$61,2)</f>
        <v>2200</v>
      </c>
      <c r="O80" s="175">
        <f>0</f>
        <v>0</v>
      </c>
      <c r="P80" s="147" t="s">
        <v>1100</v>
      </c>
      <c r="Q80" s="81">
        <v>47238</v>
      </c>
      <c r="R80" s="82">
        <v>2029</v>
      </c>
      <c r="S80" s="82">
        <v>2200</v>
      </c>
      <c r="T80" s="82">
        <v>0</v>
      </c>
      <c r="U80" s="82">
        <v>2200</v>
      </c>
      <c r="V80" s="82">
        <v>0</v>
      </c>
      <c r="W80" s="83" t="s">
        <v>1105</v>
      </c>
      <c r="X80" s="103" t="s">
        <v>1100</v>
      </c>
      <c r="Y80" s="105">
        <v>47238</v>
      </c>
      <c r="Z80" s="104">
        <v>2029</v>
      </c>
      <c r="AA80" s="104">
        <v>2200</v>
      </c>
      <c r="AB80" s="104">
        <v>0</v>
      </c>
      <c r="AC80" s="104">
        <v>2200</v>
      </c>
      <c r="AD80" s="133">
        <v>0</v>
      </c>
      <c r="AE80" s="132" t="s">
        <v>1105</v>
      </c>
      <c r="AF80" s="134" t="s">
        <v>1100</v>
      </c>
      <c r="AG80" s="135">
        <v>47238</v>
      </c>
      <c r="AH80" s="136">
        <v>2029</v>
      </c>
      <c r="AI80" s="136">
        <v>2200</v>
      </c>
      <c r="AJ80" s="136">
        <v>0</v>
      </c>
      <c r="AK80" s="136">
        <v>2200</v>
      </c>
      <c r="AL80" s="136">
        <v>0</v>
      </c>
      <c r="AM80" s="137" t="s">
        <v>1105</v>
      </c>
      <c r="AN80" s="45"/>
      <c r="AO80" s="45"/>
      <c r="AP80" s="45"/>
      <c r="AQ80" s="45"/>
      <c r="AR80" s="45"/>
    </row>
  </sheetData>
  <mergeCells count="8">
    <mergeCell ref="X1:AE1"/>
    <mergeCell ref="AF1:AM1"/>
    <mergeCell ref="A3:A28"/>
    <mergeCell ref="A29:A42"/>
    <mergeCell ref="A43:A80"/>
    <mergeCell ref="B1:H1"/>
    <mergeCell ref="I1:O1"/>
    <mergeCell ref="P1:W1"/>
  </mergeCells>
  <pageMargins left="0.7" right="0.7" top="0.75" bottom="0.75" header="0.3" footer="0.3"/>
  <pageSetup paperSize="9" orientation="portrait" horizontalDpi="300" verticalDpi="300" r:id="rId1"/>
  <ignoredErrors>
    <ignoredError sqref="N80"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A1:AS80"/>
  <sheetViews>
    <sheetView topLeftCell="X1" zoomScale="85" zoomScaleNormal="85" workbookViewId="0">
      <pane ySplit="1" topLeftCell="A2" activePane="bottomLeft" state="frozen"/>
      <selection pane="bottomLeft" activeCell="AU4" sqref="AU4"/>
    </sheetView>
  </sheetViews>
  <sheetFormatPr defaultRowHeight="14.25"/>
  <cols>
    <col min="2" max="2" width="7.625" style="56" customWidth="1"/>
    <col min="3" max="3" width="13.75" style="56" bestFit="1" customWidth="1"/>
    <col min="4" max="4" width="5.875" style="56" bestFit="1" customWidth="1"/>
    <col min="5" max="6" width="9.125" style="56" bestFit="1" customWidth="1"/>
    <col min="7" max="7" width="12.875" style="56" bestFit="1" customWidth="1"/>
    <col min="8" max="8" width="6.875" style="56" bestFit="1" customWidth="1"/>
    <col min="9" max="9" width="6.875" style="56" customWidth="1"/>
    <col min="10" max="10" width="11.25" style="56" bestFit="1" customWidth="1"/>
    <col min="11" max="12" width="9.125" style="56" bestFit="1" customWidth="1"/>
    <col min="13" max="13" width="10.125" style="56" bestFit="1" customWidth="1"/>
    <col min="14" max="14" width="9.125" style="56" bestFit="1" customWidth="1"/>
    <col min="15" max="15" width="6.875" style="56" customWidth="1"/>
    <col min="16" max="16" width="7.625" customWidth="1"/>
    <col min="17" max="17" width="13.75" customWidth="1"/>
    <col min="18" max="18" width="5.875" customWidth="1"/>
    <col min="19" max="20" width="9.125" customWidth="1"/>
    <col min="21" max="21" width="12.875" customWidth="1"/>
    <col min="22" max="22" width="12.75" customWidth="1"/>
    <col min="23" max="23" width="6.625" customWidth="1"/>
    <col min="24" max="24" width="11.125" bestFit="1" customWidth="1"/>
    <col min="25" max="25" width="13.5" bestFit="1" customWidth="1"/>
    <col min="26" max="26" width="7.625" bestFit="1" customWidth="1"/>
    <col min="27" max="28" width="9" bestFit="1" customWidth="1"/>
    <col min="29" max="29" width="8.5" bestFit="1" customWidth="1"/>
    <col min="30" max="30" width="8" bestFit="1" customWidth="1"/>
    <col min="31" max="31" width="6.625" bestFit="1" customWidth="1"/>
    <col min="32" max="32" width="7.5" bestFit="1" customWidth="1"/>
    <col min="33" max="33" width="13.5" bestFit="1" customWidth="1"/>
    <col min="34" max="34" width="5.75" bestFit="1" customWidth="1"/>
    <col min="35" max="35" width="8.125" bestFit="1" customWidth="1"/>
    <col min="36" max="36" width="9" bestFit="1" customWidth="1"/>
    <col min="37" max="37" width="8.5" bestFit="1" customWidth="1"/>
    <col min="38" max="38" width="8" bestFit="1" customWidth="1"/>
    <col min="39" max="39" width="7.125" bestFit="1" customWidth="1"/>
    <col min="40" max="42" width="13.25" customWidth="1"/>
    <col min="43" max="44" width="12.5" customWidth="1"/>
    <col min="45" max="45" width="23.375" customWidth="1"/>
  </cols>
  <sheetData>
    <row r="1" spans="1:45" ht="28.5" customHeight="1" thickBot="1">
      <c r="A1" s="45"/>
      <c r="B1" s="290" t="s">
        <v>989</v>
      </c>
      <c r="C1" s="291"/>
      <c r="D1" s="291"/>
      <c r="E1" s="291"/>
      <c r="F1" s="291"/>
      <c r="G1" s="291"/>
      <c r="H1" s="291"/>
      <c r="I1" s="290" t="s">
        <v>1128</v>
      </c>
      <c r="J1" s="291"/>
      <c r="K1" s="291"/>
      <c r="L1" s="291"/>
      <c r="M1" s="291"/>
      <c r="N1" s="291"/>
      <c r="O1" s="292"/>
      <c r="P1" s="291" t="s">
        <v>1149</v>
      </c>
      <c r="Q1" s="291"/>
      <c r="R1" s="291"/>
      <c r="S1" s="291"/>
      <c r="T1" s="291"/>
      <c r="U1" s="291"/>
      <c r="V1" s="291"/>
      <c r="W1" s="292"/>
      <c r="X1" s="290" t="s">
        <v>1150</v>
      </c>
      <c r="Y1" s="291"/>
      <c r="Z1" s="291"/>
      <c r="AA1" s="291"/>
      <c r="AB1" s="291"/>
      <c r="AC1" s="291"/>
      <c r="AD1" s="291"/>
      <c r="AE1" s="292"/>
      <c r="AF1" s="290" t="s">
        <v>1151</v>
      </c>
      <c r="AG1" s="291"/>
      <c r="AH1" s="291"/>
      <c r="AI1" s="291"/>
      <c r="AJ1" s="291"/>
      <c r="AK1" s="291"/>
      <c r="AL1" s="291"/>
      <c r="AM1" s="292"/>
      <c r="AN1" s="46"/>
      <c r="AO1" s="95"/>
      <c r="AP1" s="101" t="s">
        <v>1106</v>
      </c>
      <c r="AQ1" s="101" t="s">
        <v>1107</v>
      </c>
      <c r="AR1" s="101" t="s">
        <v>1108</v>
      </c>
      <c r="AS1" s="102" t="s">
        <v>1124</v>
      </c>
    </row>
    <row r="2" spans="1:45" ht="120.75" thickBot="1">
      <c r="A2" s="45"/>
      <c r="B2" s="47" t="s">
        <v>1075</v>
      </c>
      <c r="C2" s="48" t="s">
        <v>1072</v>
      </c>
      <c r="D2" s="49" t="s">
        <v>1073</v>
      </c>
      <c r="E2" s="49" t="s">
        <v>40</v>
      </c>
      <c r="F2" s="49" t="s">
        <v>43</v>
      </c>
      <c r="G2" s="49" t="s">
        <v>1074</v>
      </c>
      <c r="H2" s="139" t="s">
        <v>42</v>
      </c>
      <c r="I2" s="52" t="s">
        <v>1075</v>
      </c>
      <c r="J2" s="53" t="s">
        <v>1072</v>
      </c>
      <c r="K2" s="54" t="s">
        <v>1073</v>
      </c>
      <c r="L2" s="54" t="s">
        <v>40</v>
      </c>
      <c r="M2" s="54" t="s">
        <v>43</v>
      </c>
      <c r="N2" s="54" t="s">
        <v>1074</v>
      </c>
      <c r="O2" s="55" t="s">
        <v>42</v>
      </c>
      <c r="P2" s="140" t="s">
        <v>1101</v>
      </c>
      <c r="Q2" s="53" t="s">
        <v>1072</v>
      </c>
      <c r="R2" s="53" t="s">
        <v>1073</v>
      </c>
      <c r="S2" s="54" t="s">
        <v>40</v>
      </c>
      <c r="T2" s="54" t="s">
        <v>43</v>
      </c>
      <c r="U2" s="54" t="s">
        <v>1074</v>
      </c>
      <c r="V2" s="54" t="s">
        <v>42</v>
      </c>
      <c r="W2" s="55" t="s">
        <v>1102</v>
      </c>
      <c r="X2" s="52" t="s">
        <v>1101</v>
      </c>
      <c r="Y2" s="53" t="s">
        <v>1072</v>
      </c>
      <c r="Z2" s="53" t="s">
        <v>1073</v>
      </c>
      <c r="AA2" s="54" t="s">
        <v>40</v>
      </c>
      <c r="AB2" s="54" t="s">
        <v>43</v>
      </c>
      <c r="AC2" s="54" t="s">
        <v>1074</v>
      </c>
      <c r="AD2" s="54" t="s">
        <v>42</v>
      </c>
      <c r="AE2" s="55" t="s">
        <v>1102</v>
      </c>
      <c r="AF2" s="52" t="s">
        <v>1101</v>
      </c>
      <c r="AG2" s="53" t="s">
        <v>1072</v>
      </c>
      <c r="AH2" s="53" t="s">
        <v>1073</v>
      </c>
      <c r="AI2" s="54" t="s">
        <v>40</v>
      </c>
      <c r="AJ2" s="54" t="s">
        <v>43</v>
      </c>
      <c r="AK2" s="54" t="s">
        <v>1074</v>
      </c>
      <c r="AL2" s="54" t="s">
        <v>42</v>
      </c>
      <c r="AM2" s="55" t="s">
        <v>1102</v>
      </c>
      <c r="AN2" s="50"/>
      <c r="AO2" s="99" t="s">
        <v>1109</v>
      </c>
      <c r="AP2" s="96" t="s">
        <v>896</v>
      </c>
      <c r="AQ2" s="97" t="s">
        <v>896</v>
      </c>
      <c r="AR2" s="97" t="s">
        <v>896</v>
      </c>
      <c r="AS2" s="98" t="s">
        <v>1155</v>
      </c>
    </row>
    <row r="3" spans="1:45" ht="120">
      <c r="A3" s="293" t="s">
        <v>1109</v>
      </c>
      <c r="B3" s="184" t="s">
        <v>990</v>
      </c>
      <c r="C3" s="185">
        <v>46127</v>
      </c>
      <c r="D3" s="186">
        <v>2026</v>
      </c>
      <c r="E3" s="187">
        <v>1000</v>
      </c>
      <c r="F3" s="187">
        <v>1000</v>
      </c>
      <c r="G3" s="187"/>
      <c r="H3" s="188">
        <v>0</v>
      </c>
      <c r="I3" s="151" t="s">
        <v>990</v>
      </c>
      <c r="J3" s="166">
        <f ca="1">$M$4</f>
        <v>46127</v>
      </c>
      <c r="K3" s="167">
        <f ca="1">YEAR(J3)</f>
        <v>2026</v>
      </c>
      <c r="L3" s="168">
        <f ca="1">ROUND($M$5*$M$6,2)</f>
        <v>1000</v>
      </c>
      <c r="M3" s="168">
        <v>1000</v>
      </c>
      <c r="N3" s="168">
        <v>0</v>
      </c>
      <c r="O3" s="169">
        <v>0</v>
      </c>
      <c r="P3" s="141" t="s">
        <v>990</v>
      </c>
      <c r="Q3" s="58">
        <v>46127</v>
      </c>
      <c r="R3" s="59">
        <v>2026</v>
      </c>
      <c r="S3" s="59">
        <v>1000</v>
      </c>
      <c r="T3" s="59">
        <v>1000</v>
      </c>
      <c r="U3" s="59"/>
      <c r="V3" s="59">
        <v>0</v>
      </c>
      <c r="W3" s="60" t="s">
        <v>1103</v>
      </c>
      <c r="X3" s="85" t="s">
        <v>990</v>
      </c>
      <c r="Y3" s="86">
        <v>46127</v>
      </c>
      <c r="Z3" s="87">
        <v>2026</v>
      </c>
      <c r="AA3" s="87">
        <v>1000</v>
      </c>
      <c r="AB3" s="87">
        <v>1000</v>
      </c>
      <c r="AC3" s="87"/>
      <c r="AD3" s="87">
        <v>0</v>
      </c>
      <c r="AE3" s="88" t="s">
        <v>1103</v>
      </c>
      <c r="AF3" s="57" t="s">
        <v>990</v>
      </c>
      <c r="AG3" s="58">
        <v>46127</v>
      </c>
      <c r="AH3" s="59">
        <v>2026</v>
      </c>
      <c r="AI3" s="59">
        <v>1000</v>
      </c>
      <c r="AJ3" s="59">
        <v>1000</v>
      </c>
      <c r="AK3" s="59"/>
      <c r="AL3" s="59">
        <v>0</v>
      </c>
      <c r="AM3" s="89" t="s">
        <v>1103</v>
      </c>
      <c r="AN3" s="44"/>
      <c r="AO3" s="100" t="s">
        <v>1110</v>
      </c>
      <c r="AP3" s="97" t="s">
        <v>896</v>
      </c>
      <c r="AQ3" s="97" t="s">
        <v>896</v>
      </c>
      <c r="AR3" s="97" t="s">
        <v>896</v>
      </c>
      <c r="AS3" s="98" t="s">
        <v>1153</v>
      </c>
    </row>
    <row r="4" spans="1:45" ht="195">
      <c r="A4" s="294"/>
      <c r="B4" s="189" t="s">
        <v>1076</v>
      </c>
      <c r="C4" s="190">
        <v>46173</v>
      </c>
      <c r="D4" s="191">
        <v>2026</v>
      </c>
      <c r="E4" s="192">
        <v>355.14</v>
      </c>
      <c r="F4" s="192">
        <v>317.64</v>
      </c>
      <c r="G4" s="192"/>
      <c r="H4" s="193">
        <v>37.5</v>
      </c>
      <c r="I4" s="170">
        <v>1</v>
      </c>
      <c r="J4" s="160">
        <f ca="1">EOMONTH($M$4,I4)</f>
        <v>46173</v>
      </c>
      <c r="K4" s="164">
        <f t="shared" ref="K4:K28" ca="1" si="0">YEAR(J4)</f>
        <v>2026</v>
      </c>
      <c r="L4" s="165">
        <f ca="1">ROUND(IF($M$8=0,(($M$5-ROUND($M$5*$M$6,2))-ROUND($M$5*$M$7,2))/($M$9*$M$10),(($M$8/$M$10)*(($M$5-ROUND($M$5*$M$6,2))-ROUND($M$5*$M$7,2)/(1+$M$8/$M$10)^($M$9*$M$10)))/(1-(1+$M$8/$M$10)^(-$M$9*$M$10))),2)</f>
        <v>355.14</v>
      </c>
      <c r="M4" s="165">
        <f ca="1">ROUND(L4-O4,2)</f>
        <v>317.64</v>
      </c>
      <c r="N4" s="165">
        <f>0</f>
        <v>0</v>
      </c>
      <c r="O4" s="171">
        <f ca="1">ROUND(P3*($M$8/$M$10),2)</f>
        <v>37.5</v>
      </c>
      <c r="P4" s="142">
        <v>1</v>
      </c>
      <c r="Q4" s="62">
        <v>46173</v>
      </c>
      <c r="R4" s="63">
        <v>2026</v>
      </c>
      <c r="S4" s="63">
        <v>355.14</v>
      </c>
      <c r="T4" s="63">
        <v>317.64</v>
      </c>
      <c r="U4" s="63"/>
      <c r="V4" s="63">
        <v>37.5</v>
      </c>
      <c r="W4" s="64" t="s">
        <v>1104</v>
      </c>
      <c r="X4" s="90">
        <v>1</v>
      </c>
      <c r="Y4" s="91">
        <v>46173</v>
      </c>
      <c r="Z4" s="92">
        <v>2026</v>
      </c>
      <c r="AA4" s="92">
        <v>355.14</v>
      </c>
      <c r="AB4" s="92">
        <v>317.64</v>
      </c>
      <c r="AC4" s="92"/>
      <c r="AD4" s="92">
        <v>37.5</v>
      </c>
      <c r="AE4" s="93" t="s">
        <v>1104</v>
      </c>
      <c r="AF4" s="61">
        <v>1</v>
      </c>
      <c r="AG4" s="62">
        <v>46173</v>
      </c>
      <c r="AH4" s="63">
        <v>2026</v>
      </c>
      <c r="AI4" s="63">
        <v>355.14</v>
      </c>
      <c r="AJ4" s="63">
        <v>317.64</v>
      </c>
      <c r="AK4" s="63"/>
      <c r="AL4" s="63">
        <v>37.5</v>
      </c>
      <c r="AM4" s="94" t="s">
        <v>1104</v>
      </c>
      <c r="AN4" s="44"/>
      <c r="AO4" s="100" t="s">
        <v>1123</v>
      </c>
      <c r="AP4" s="97" t="s">
        <v>896</v>
      </c>
      <c r="AQ4" s="97" t="s">
        <v>897</v>
      </c>
      <c r="AR4" s="97" t="s">
        <v>896</v>
      </c>
      <c r="AS4" s="98" t="s">
        <v>1156</v>
      </c>
    </row>
    <row r="5" spans="1:45" ht="60">
      <c r="A5" s="294"/>
      <c r="B5" s="189" t="s">
        <v>1077</v>
      </c>
      <c r="C5" s="190">
        <v>46203</v>
      </c>
      <c r="D5" s="191">
        <v>2026</v>
      </c>
      <c r="E5" s="192">
        <v>355.14</v>
      </c>
      <c r="F5" s="192">
        <v>318.95999999999998</v>
      </c>
      <c r="G5" s="192"/>
      <c r="H5" s="193">
        <v>36.18</v>
      </c>
      <c r="I5" s="170">
        <v>2</v>
      </c>
      <c r="J5" s="160">
        <f t="shared" ref="J5:J26" ca="1" si="1">EOMONTH($M$4,I5)</f>
        <v>46203</v>
      </c>
      <c r="K5" s="164">
        <f t="shared" ca="1" si="0"/>
        <v>2026</v>
      </c>
      <c r="L5" s="165">
        <f t="shared" ref="L5:L26" ca="1" si="2">ROUND(IF($M$8=0,(($M$5-ROUND($M$5*$M$6,2))-ROUND($M$5*$M$7,2))/($M$9*$M$10),(($M$8/$M$10)*(($M$5-ROUND($M$5*$M$6,2))-ROUND($M$5*$M$7,2)/(1+$M$8/$M$10)^($M$9*$M$10)))/(1-(1+$M$8/$M$10)^(-$M$9*$M$10))),2)</f>
        <v>355.14</v>
      </c>
      <c r="M5" s="165">
        <f t="shared" ref="M5:M26" ca="1" si="3">ROUND(L5-O5,2)</f>
        <v>318.95999999999998</v>
      </c>
      <c r="N5" s="165">
        <f>0</f>
        <v>0</v>
      </c>
      <c r="O5" s="171">
        <f t="shared" ref="O5:O26" ca="1" si="4">ROUND(P4*($M$8/$M$10),2)</f>
        <v>36.18</v>
      </c>
      <c r="P5" s="142">
        <v>2</v>
      </c>
      <c r="Q5" s="62">
        <v>46203</v>
      </c>
      <c r="R5" s="63">
        <v>2026</v>
      </c>
      <c r="S5" s="63">
        <v>355.14</v>
      </c>
      <c r="T5" s="63">
        <v>318.95999999999998</v>
      </c>
      <c r="U5" s="63"/>
      <c r="V5" s="63">
        <v>36.18</v>
      </c>
      <c r="W5" s="64" t="s">
        <v>1104</v>
      </c>
      <c r="X5" s="90">
        <v>2</v>
      </c>
      <c r="Y5" s="91">
        <v>46203</v>
      </c>
      <c r="Z5" s="92">
        <v>2026</v>
      </c>
      <c r="AA5" s="92">
        <v>355.14</v>
      </c>
      <c r="AB5" s="92">
        <v>318.95999999999998</v>
      </c>
      <c r="AC5" s="92"/>
      <c r="AD5" s="92">
        <v>36.18</v>
      </c>
      <c r="AE5" s="93" t="s">
        <v>1104</v>
      </c>
      <c r="AF5" s="61">
        <v>2</v>
      </c>
      <c r="AG5" s="62">
        <v>46203</v>
      </c>
      <c r="AH5" s="63">
        <v>2026</v>
      </c>
      <c r="AI5" s="63">
        <v>355.14</v>
      </c>
      <c r="AJ5" s="63">
        <v>318.95999999999998</v>
      </c>
      <c r="AK5" s="63"/>
      <c r="AL5" s="63">
        <v>36.18</v>
      </c>
      <c r="AM5" s="94" t="s">
        <v>1104</v>
      </c>
      <c r="AN5" s="44"/>
      <c r="AO5" s="44"/>
      <c r="AP5" s="44"/>
      <c r="AQ5" s="51"/>
      <c r="AR5" s="51"/>
      <c r="AS5" s="38"/>
    </row>
    <row r="6" spans="1:45" ht="60">
      <c r="A6" s="294"/>
      <c r="B6" s="189" t="s">
        <v>1078</v>
      </c>
      <c r="C6" s="190">
        <v>46234</v>
      </c>
      <c r="D6" s="191">
        <v>2026</v>
      </c>
      <c r="E6" s="192">
        <v>355.14</v>
      </c>
      <c r="F6" s="192">
        <v>320.29000000000002</v>
      </c>
      <c r="G6" s="192"/>
      <c r="H6" s="193">
        <v>34.85</v>
      </c>
      <c r="I6" s="170">
        <v>3</v>
      </c>
      <c r="J6" s="160">
        <f t="shared" ca="1" si="1"/>
        <v>46234</v>
      </c>
      <c r="K6" s="164">
        <f t="shared" ca="1" si="0"/>
        <v>2026</v>
      </c>
      <c r="L6" s="165">
        <f t="shared" ca="1" si="2"/>
        <v>355.14</v>
      </c>
      <c r="M6" s="165">
        <f t="shared" ca="1" si="3"/>
        <v>320.29000000000002</v>
      </c>
      <c r="N6" s="165">
        <f>0</f>
        <v>0</v>
      </c>
      <c r="O6" s="171">
        <f t="shared" ca="1" si="4"/>
        <v>34.85</v>
      </c>
      <c r="P6" s="142">
        <v>3</v>
      </c>
      <c r="Q6" s="62">
        <v>46234</v>
      </c>
      <c r="R6" s="63">
        <v>2026</v>
      </c>
      <c r="S6" s="63">
        <v>355.14</v>
      </c>
      <c r="T6" s="63">
        <v>320.29000000000002</v>
      </c>
      <c r="U6" s="63"/>
      <c r="V6" s="63">
        <v>34.85</v>
      </c>
      <c r="W6" s="64" t="s">
        <v>1104</v>
      </c>
      <c r="X6" s="90">
        <v>3</v>
      </c>
      <c r="Y6" s="91">
        <v>46234</v>
      </c>
      <c r="Z6" s="92">
        <v>2026</v>
      </c>
      <c r="AA6" s="92">
        <v>355.14</v>
      </c>
      <c r="AB6" s="92">
        <v>320.29000000000002</v>
      </c>
      <c r="AC6" s="92"/>
      <c r="AD6" s="92">
        <v>34.85</v>
      </c>
      <c r="AE6" s="93" t="s">
        <v>1104</v>
      </c>
      <c r="AF6" s="61">
        <v>3</v>
      </c>
      <c r="AG6" s="62">
        <v>46234</v>
      </c>
      <c r="AH6" s="63">
        <v>2026</v>
      </c>
      <c r="AI6" s="63">
        <v>355.14</v>
      </c>
      <c r="AJ6" s="63">
        <v>320.29000000000002</v>
      </c>
      <c r="AK6" s="63"/>
      <c r="AL6" s="63">
        <v>34.85</v>
      </c>
      <c r="AM6" s="94" t="s">
        <v>1104</v>
      </c>
      <c r="AN6" s="44"/>
      <c r="AO6" s="6"/>
      <c r="AP6" s="6"/>
      <c r="AQ6" s="6"/>
      <c r="AR6" s="6"/>
      <c r="AS6" s="6"/>
    </row>
    <row r="7" spans="1:45" ht="60">
      <c r="A7" s="294"/>
      <c r="B7" s="189" t="s">
        <v>1079</v>
      </c>
      <c r="C7" s="190">
        <v>46265</v>
      </c>
      <c r="D7" s="191">
        <v>2026</v>
      </c>
      <c r="E7" s="192">
        <v>355.14</v>
      </c>
      <c r="F7" s="192">
        <v>321.63</v>
      </c>
      <c r="G7" s="192"/>
      <c r="H7" s="193">
        <v>33.51</v>
      </c>
      <c r="I7" s="170">
        <v>4</v>
      </c>
      <c r="J7" s="160">
        <f t="shared" ca="1" si="1"/>
        <v>46265</v>
      </c>
      <c r="K7" s="164">
        <f t="shared" ca="1" si="0"/>
        <v>2026</v>
      </c>
      <c r="L7" s="165">
        <f t="shared" ca="1" si="2"/>
        <v>355.14</v>
      </c>
      <c r="M7" s="165">
        <f t="shared" ca="1" si="3"/>
        <v>321.63</v>
      </c>
      <c r="N7" s="165">
        <f>0</f>
        <v>0</v>
      </c>
      <c r="O7" s="171">
        <f t="shared" ca="1" si="4"/>
        <v>33.51</v>
      </c>
      <c r="P7" s="142">
        <v>4</v>
      </c>
      <c r="Q7" s="62">
        <v>46265</v>
      </c>
      <c r="R7" s="63">
        <v>2026</v>
      </c>
      <c r="S7" s="63">
        <v>355.14</v>
      </c>
      <c r="T7" s="63">
        <v>321.63</v>
      </c>
      <c r="U7" s="63"/>
      <c r="V7" s="63">
        <v>33.51</v>
      </c>
      <c r="W7" s="64" t="s">
        <v>1104</v>
      </c>
      <c r="X7" s="90">
        <v>4</v>
      </c>
      <c r="Y7" s="91">
        <v>46265</v>
      </c>
      <c r="Z7" s="92">
        <v>2026</v>
      </c>
      <c r="AA7" s="92">
        <v>355.14</v>
      </c>
      <c r="AB7" s="92">
        <v>321.63</v>
      </c>
      <c r="AC7" s="92"/>
      <c r="AD7" s="92">
        <v>33.51</v>
      </c>
      <c r="AE7" s="93" t="s">
        <v>1104</v>
      </c>
      <c r="AF7" s="61">
        <v>4</v>
      </c>
      <c r="AG7" s="62">
        <v>46265</v>
      </c>
      <c r="AH7" s="63">
        <v>2026</v>
      </c>
      <c r="AI7" s="63">
        <v>355.14</v>
      </c>
      <c r="AJ7" s="63">
        <v>321.63</v>
      </c>
      <c r="AK7" s="63"/>
      <c r="AL7" s="63">
        <v>33.51</v>
      </c>
      <c r="AM7" s="94" t="s">
        <v>1104</v>
      </c>
      <c r="AN7" s="44"/>
      <c r="AO7" s="241"/>
      <c r="AP7" s="241"/>
      <c r="AQ7" s="241"/>
      <c r="AR7" s="241"/>
      <c r="AS7" s="241"/>
    </row>
    <row r="8" spans="1:45" ht="60">
      <c r="A8" s="294"/>
      <c r="B8" s="189" t="s">
        <v>1080</v>
      </c>
      <c r="C8" s="190">
        <v>46295</v>
      </c>
      <c r="D8" s="191">
        <v>2026</v>
      </c>
      <c r="E8" s="192">
        <v>355.14</v>
      </c>
      <c r="F8" s="192">
        <v>322.97000000000003</v>
      </c>
      <c r="G8" s="192"/>
      <c r="H8" s="193">
        <v>32.17</v>
      </c>
      <c r="I8" s="170">
        <v>5</v>
      </c>
      <c r="J8" s="160">
        <f t="shared" ca="1" si="1"/>
        <v>46295</v>
      </c>
      <c r="K8" s="164">
        <f t="shared" ca="1" si="0"/>
        <v>2026</v>
      </c>
      <c r="L8" s="165">
        <f t="shared" ca="1" si="2"/>
        <v>355.14</v>
      </c>
      <c r="M8" s="165">
        <f t="shared" ca="1" si="3"/>
        <v>322.97000000000003</v>
      </c>
      <c r="N8" s="165">
        <f>0</f>
        <v>0</v>
      </c>
      <c r="O8" s="171">
        <f t="shared" ca="1" si="4"/>
        <v>32.17</v>
      </c>
      <c r="P8" s="142">
        <v>5</v>
      </c>
      <c r="Q8" s="62">
        <v>46295</v>
      </c>
      <c r="R8" s="63">
        <v>2026</v>
      </c>
      <c r="S8" s="63">
        <v>355.14</v>
      </c>
      <c r="T8" s="63">
        <v>322.97000000000003</v>
      </c>
      <c r="U8" s="63"/>
      <c r="V8" s="63">
        <v>32.17</v>
      </c>
      <c r="W8" s="64" t="s">
        <v>1104</v>
      </c>
      <c r="X8" s="90">
        <v>5</v>
      </c>
      <c r="Y8" s="91">
        <v>46295</v>
      </c>
      <c r="Z8" s="92">
        <v>2026</v>
      </c>
      <c r="AA8" s="92">
        <v>355.14</v>
      </c>
      <c r="AB8" s="92">
        <v>322.97000000000003</v>
      </c>
      <c r="AC8" s="92"/>
      <c r="AD8" s="92">
        <v>32.17</v>
      </c>
      <c r="AE8" s="93" t="s">
        <v>1104</v>
      </c>
      <c r="AF8" s="61">
        <v>5</v>
      </c>
      <c r="AG8" s="62">
        <v>46295</v>
      </c>
      <c r="AH8" s="63">
        <v>2026</v>
      </c>
      <c r="AI8" s="63">
        <v>355.14</v>
      </c>
      <c r="AJ8" s="63">
        <v>322.97000000000003</v>
      </c>
      <c r="AK8" s="63"/>
      <c r="AL8" s="63">
        <v>32.17</v>
      </c>
      <c r="AM8" s="94" t="s">
        <v>1104</v>
      </c>
      <c r="AN8" s="44"/>
      <c r="AO8" s="241"/>
      <c r="AP8" s="241"/>
      <c r="AQ8" s="241"/>
      <c r="AR8" s="241"/>
      <c r="AS8" s="241"/>
    </row>
    <row r="9" spans="1:45" ht="60">
      <c r="A9" s="294"/>
      <c r="B9" s="189" t="s">
        <v>1081</v>
      </c>
      <c r="C9" s="190">
        <v>46326</v>
      </c>
      <c r="D9" s="191">
        <v>2026</v>
      </c>
      <c r="E9" s="192">
        <v>355.14</v>
      </c>
      <c r="F9" s="192">
        <v>324.31</v>
      </c>
      <c r="G9" s="192"/>
      <c r="H9" s="193">
        <v>30.83</v>
      </c>
      <c r="I9" s="170">
        <v>6</v>
      </c>
      <c r="J9" s="160">
        <f t="shared" ca="1" si="1"/>
        <v>46326</v>
      </c>
      <c r="K9" s="164">
        <f t="shared" ca="1" si="0"/>
        <v>2026</v>
      </c>
      <c r="L9" s="165">
        <f t="shared" ca="1" si="2"/>
        <v>355.14</v>
      </c>
      <c r="M9" s="165">
        <f t="shared" ca="1" si="3"/>
        <v>324.31</v>
      </c>
      <c r="N9" s="165">
        <f>0</f>
        <v>0</v>
      </c>
      <c r="O9" s="171">
        <f t="shared" ca="1" si="4"/>
        <v>30.83</v>
      </c>
      <c r="P9" s="142">
        <v>6</v>
      </c>
      <c r="Q9" s="62">
        <v>46326</v>
      </c>
      <c r="R9" s="63">
        <v>2026</v>
      </c>
      <c r="S9" s="63">
        <v>355.14</v>
      </c>
      <c r="T9" s="63">
        <v>324.31</v>
      </c>
      <c r="U9" s="63"/>
      <c r="V9" s="63">
        <v>30.83</v>
      </c>
      <c r="W9" s="64" t="s">
        <v>1104</v>
      </c>
      <c r="X9" s="90">
        <v>6</v>
      </c>
      <c r="Y9" s="91">
        <v>46326</v>
      </c>
      <c r="Z9" s="92">
        <v>2026</v>
      </c>
      <c r="AA9" s="92">
        <v>355.14</v>
      </c>
      <c r="AB9" s="92">
        <v>324.31</v>
      </c>
      <c r="AC9" s="92"/>
      <c r="AD9" s="92">
        <v>30.83</v>
      </c>
      <c r="AE9" s="93" t="s">
        <v>1104</v>
      </c>
      <c r="AF9" s="61">
        <v>6</v>
      </c>
      <c r="AG9" s="62">
        <v>46326</v>
      </c>
      <c r="AH9" s="63">
        <v>2026</v>
      </c>
      <c r="AI9" s="63">
        <v>355.14</v>
      </c>
      <c r="AJ9" s="63">
        <v>324.31</v>
      </c>
      <c r="AK9" s="63"/>
      <c r="AL9" s="63">
        <v>30.83</v>
      </c>
      <c r="AM9" s="94" t="s">
        <v>1104</v>
      </c>
      <c r="AN9" s="44"/>
      <c r="AO9" s="241"/>
      <c r="AP9" s="241"/>
      <c r="AQ9" s="241"/>
      <c r="AR9" s="241"/>
      <c r="AS9" s="241"/>
    </row>
    <row r="10" spans="1:45" ht="60">
      <c r="A10" s="294"/>
      <c r="B10" s="189" t="s">
        <v>1082</v>
      </c>
      <c r="C10" s="190">
        <v>46356</v>
      </c>
      <c r="D10" s="191">
        <v>2026</v>
      </c>
      <c r="E10" s="192">
        <v>355.14</v>
      </c>
      <c r="F10" s="192">
        <v>325.66000000000003</v>
      </c>
      <c r="G10" s="192"/>
      <c r="H10" s="193">
        <v>29.48</v>
      </c>
      <c r="I10" s="170">
        <v>7</v>
      </c>
      <c r="J10" s="160">
        <f t="shared" ca="1" si="1"/>
        <v>46356</v>
      </c>
      <c r="K10" s="164">
        <f t="shared" ca="1" si="0"/>
        <v>2026</v>
      </c>
      <c r="L10" s="165">
        <f t="shared" ca="1" si="2"/>
        <v>355.14</v>
      </c>
      <c r="M10" s="165">
        <f t="shared" ca="1" si="3"/>
        <v>325.66000000000003</v>
      </c>
      <c r="N10" s="165">
        <f>0</f>
        <v>0</v>
      </c>
      <c r="O10" s="171">
        <f t="shared" ca="1" si="4"/>
        <v>29.48</v>
      </c>
      <c r="P10" s="142">
        <v>7</v>
      </c>
      <c r="Q10" s="62">
        <v>46356</v>
      </c>
      <c r="R10" s="63">
        <v>2026</v>
      </c>
      <c r="S10" s="63">
        <v>355.14</v>
      </c>
      <c r="T10" s="63">
        <v>325.66000000000003</v>
      </c>
      <c r="U10" s="63"/>
      <c r="V10" s="63">
        <v>29.48</v>
      </c>
      <c r="W10" s="64" t="s">
        <v>1104</v>
      </c>
      <c r="X10" s="90">
        <v>7</v>
      </c>
      <c r="Y10" s="91">
        <v>46356</v>
      </c>
      <c r="Z10" s="92">
        <v>2026</v>
      </c>
      <c r="AA10" s="92">
        <v>355.14</v>
      </c>
      <c r="AB10" s="92">
        <v>325.66000000000003</v>
      </c>
      <c r="AC10" s="92"/>
      <c r="AD10" s="92">
        <v>29.48</v>
      </c>
      <c r="AE10" s="93" t="s">
        <v>1104</v>
      </c>
      <c r="AF10" s="61">
        <v>7</v>
      </c>
      <c r="AG10" s="62">
        <v>46356</v>
      </c>
      <c r="AH10" s="63">
        <v>2026</v>
      </c>
      <c r="AI10" s="63">
        <v>355.14</v>
      </c>
      <c r="AJ10" s="63">
        <v>325.66000000000003</v>
      </c>
      <c r="AK10" s="63"/>
      <c r="AL10" s="63">
        <v>29.48</v>
      </c>
      <c r="AM10" s="94" t="s">
        <v>1104</v>
      </c>
      <c r="AN10" s="44"/>
      <c r="AO10" s="44"/>
      <c r="AP10" s="44"/>
      <c r="AQ10" s="45"/>
      <c r="AR10" s="45"/>
    </row>
    <row r="11" spans="1:45" ht="60">
      <c r="A11" s="294"/>
      <c r="B11" s="189" t="s">
        <v>1083</v>
      </c>
      <c r="C11" s="190">
        <v>46387</v>
      </c>
      <c r="D11" s="191">
        <v>2026</v>
      </c>
      <c r="E11" s="192">
        <v>355.14</v>
      </c>
      <c r="F11" s="192">
        <v>327.02</v>
      </c>
      <c r="G11" s="192"/>
      <c r="H11" s="193">
        <v>28.12</v>
      </c>
      <c r="I11" s="170">
        <v>8</v>
      </c>
      <c r="J11" s="160">
        <f t="shared" ca="1" si="1"/>
        <v>46387</v>
      </c>
      <c r="K11" s="164">
        <f t="shared" ca="1" si="0"/>
        <v>2026</v>
      </c>
      <c r="L11" s="165">
        <f t="shared" ca="1" si="2"/>
        <v>355.14</v>
      </c>
      <c r="M11" s="165">
        <f t="shared" ca="1" si="3"/>
        <v>327.02</v>
      </c>
      <c r="N11" s="165">
        <f>0</f>
        <v>0</v>
      </c>
      <c r="O11" s="171">
        <f t="shared" ca="1" si="4"/>
        <v>28.12</v>
      </c>
      <c r="P11" s="142">
        <v>8</v>
      </c>
      <c r="Q11" s="62">
        <v>46387</v>
      </c>
      <c r="R11" s="63">
        <v>2026</v>
      </c>
      <c r="S11" s="63">
        <v>355.14</v>
      </c>
      <c r="T11" s="63">
        <v>327.02</v>
      </c>
      <c r="U11" s="63"/>
      <c r="V11" s="63">
        <v>28.12</v>
      </c>
      <c r="W11" s="64" t="s">
        <v>1104</v>
      </c>
      <c r="X11" s="90">
        <v>8</v>
      </c>
      <c r="Y11" s="91">
        <v>46387</v>
      </c>
      <c r="Z11" s="92">
        <v>2026</v>
      </c>
      <c r="AA11" s="92">
        <v>355.14</v>
      </c>
      <c r="AB11" s="92">
        <v>327.02</v>
      </c>
      <c r="AC11" s="92"/>
      <c r="AD11" s="92">
        <v>28.12</v>
      </c>
      <c r="AE11" s="93" t="s">
        <v>1104</v>
      </c>
      <c r="AF11" s="61">
        <v>8</v>
      </c>
      <c r="AG11" s="62">
        <v>46387</v>
      </c>
      <c r="AH11" s="63">
        <v>2026</v>
      </c>
      <c r="AI11" s="63">
        <v>355.14</v>
      </c>
      <c r="AJ11" s="63">
        <v>327.02</v>
      </c>
      <c r="AK11" s="63"/>
      <c r="AL11" s="63">
        <v>28.12</v>
      </c>
      <c r="AM11" s="94" t="s">
        <v>1104</v>
      </c>
      <c r="AN11" s="44"/>
      <c r="AO11" s="44"/>
      <c r="AP11" s="44"/>
      <c r="AQ11" s="45"/>
      <c r="AR11" s="45"/>
    </row>
    <row r="12" spans="1:45" ht="60">
      <c r="A12" s="294"/>
      <c r="B12" s="189" t="s">
        <v>1084</v>
      </c>
      <c r="C12" s="190">
        <v>46418</v>
      </c>
      <c r="D12" s="191">
        <v>2027</v>
      </c>
      <c r="E12" s="192">
        <v>355.14</v>
      </c>
      <c r="F12" s="192">
        <v>328.38</v>
      </c>
      <c r="G12" s="192"/>
      <c r="H12" s="193">
        <v>26.76</v>
      </c>
      <c r="I12" s="170">
        <v>9</v>
      </c>
      <c r="J12" s="160">
        <f t="shared" ca="1" si="1"/>
        <v>46418</v>
      </c>
      <c r="K12" s="164">
        <f t="shared" ca="1" si="0"/>
        <v>2027</v>
      </c>
      <c r="L12" s="165">
        <f t="shared" ca="1" si="2"/>
        <v>355.14</v>
      </c>
      <c r="M12" s="165">
        <f t="shared" ca="1" si="3"/>
        <v>328.38</v>
      </c>
      <c r="N12" s="165">
        <f>0</f>
        <v>0</v>
      </c>
      <c r="O12" s="171">
        <f t="shared" ca="1" si="4"/>
        <v>26.76</v>
      </c>
      <c r="P12" s="142">
        <v>9</v>
      </c>
      <c r="Q12" s="62">
        <v>46418</v>
      </c>
      <c r="R12" s="63">
        <v>2027</v>
      </c>
      <c r="S12" s="63">
        <v>355.14</v>
      </c>
      <c r="T12" s="63">
        <v>328.38</v>
      </c>
      <c r="U12" s="63"/>
      <c r="V12" s="63">
        <v>26.76</v>
      </c>
      <c r="W12" s="64" t="s">
        <v>1104</v>
      </c>
      <c r="X12" s="90">
        <v>9</v>
      </c>
      <c r="Y12" s="91">
        <v>46418</v>
      </c>
      <c r="Z12" s="92">
        <v>2027</v>
      </c>
      <c r="AA12" s="92">
        <v>355.14</v>
      </c>
      <c r="AB12" s="92">
        <v>328.38</v>
      </c>
      <c r="AC12" s="92"/>
      <c r="AD12" s="92">
        <v>26.76</v>
      </c>
      <c r="AE12" s="93" t="s">
        <v>1104</v>
      </c>
      <c r="AF12" s="61">
        <v>9</v>
      </c>
      <c r="AG12" s="62">
        <v>46418</v>
      </c>
      <c r="AH12" s="63">
        <v>2027</v>
      </c>
      <c r="AI12" s="63">
        <v>355.14</v>
      </c>
      <c r="AJ12" s="63">
        <v>328.38</v>
      </c>
      <c r="AK12" s="63"/>
      <c r="AL12" s="63">
        <v>26.76</v>
      </c>
      <c r="AM12" s="94" t="s">
        <v>1104</v>
      </c>
      <c r="AN12" s="44"/>
      <c r="AO12" s="44"/>
      <c r="AP12" s="44"/>
      <c r="AQ12" s="45"/>
      <c r="AR12" s="45"/>
    </row>
    <row r="13" spans="1:45" ht="60">
      <c r="A13" s="294"/>
      <c r="B13" s="189" t="s">
        <v>1085</v>
      </c>
      <c r="C13" s="190">
        <v>46446</v>
      </c>
      <c r="D13" s="191">
        <v>2027</v>
      </c>
      <c r="E13" s="192">
        <v>355.14</v>
      </c>
      <c r="F13" s="192">
        <v>329.75</v>
      </c>
      <c r="G13" s="192"/>
      <c r="H13" s="193">
        <v>25.39</v>
      </c>
      <c r="I13" s="170">
        <v>10</v>
      </c>
      <c r="J13" s="160">
        <f t="shared" ca="1" si="1"/>
        <v>46446</v>
      </c>
      <c r="K13" s="164">
        <f t="shared" ca="1" si="0"/>
        <v>2027</v>
      </c>
      <c r="L13" s="165">
        <f t="shared" ca="1" si="2"/>
        <v>355.14</v>
      </c>
      <c r="M13" s="165">
        <f t="shared" ca="1" si="3"/>
        <v>329.75</v>
      </c>
      <c r="N13" s="165">
        <f>0</f>
        <v>0</v>
      </c>
      <c r="O13" s="171">
        <f t="shared" ca="1" si="4"/>
        <v>25.39</v>
      </c>
      <c r="P13" s="142">
        <v>10</v>
      </c>
      <c r="Q13" s="62">
        <v>46446</v>
      </c>
      <c r="R13" s="63">
        <v>2027</v>
      </c>
      <c r="S13" s="63">
        <v>355.14</v>
      </c>
      <c r="T13" s="63">
        <v>329.75</v>
      </c>
      <c r="U13" s="63"/>
      <c r="V13" s="63">
        <v>25.39</v>
      </c>
      <c r="W13" s="64" t="s">
        <v>1104</v>
      </c>
      <c r="X13" s="90">
        <v>10</v>
      </c>
      <c r="Y13" s="91">
        <v>46446</v>
      </c>
      <c r="Z13" s="92">
        <v>2027</v>
      </c>
      <c r="AA13" s="92">
        <v>355.14</v>
      </c>
      <c r="AB13" s="92">
        <v>329.75</v>
      </c>
      <c r="AC13" s="92"/>
      <c r="AD13" s="92">
        <v>25.39</v>
      </c>
      <c r="AE13" s="93" t="s">
        <v>1104</v>
      </c>
      <c r="AF13" s="61">
        <v>10</v>
      </c>
      <c r="AG13" s="62">
        <v>46446</v>
      </c>
      <c r="AH13" s="63">
        <v>2027</v>
      </c>
      <c r="AI13" s="63">
        <v>355.14</v>
      </c>
      <c r="AJ13" s="63">
        <v>329.75</v>
      </c>
      <c r="AK13" s="63"/>
      <c r="AL13" s="63">
        <v>25.39</v>
      </c>
      <c r="AM13" s="94" t="s">
        <v>1104</v>
      </c>
      <c r="AN13" s="44"/>
      <c r="AO13" s="44"/>
      <c r="AP13" s="44"/>
      <c r="AQ13" s="45"/>
      <c r="AR13" s="45"/>
    </row>
    <row r="14" spans="1:45" ht="60">
      <c r="A14" s="294"/>
      <c r="B14" s="189" t="s">
        <v>1086</v>
      </c>
      <c r="C14" s="190">
        <v>46477</v>
      </c>
      <c r="D14" s="191">
        <v>2027</v>
      </c>
      <c r="E14" s="192">
        <v>355.14</v>
      </c>
      <c r="F14" s="192">
        <v>331.13</v>
      </c>
      <c r="G14" s="192"/>
      <c r="H14" s="193">
        <v>24.01</v>
      </c>
      <c r="I14" s="170">
        <v>11</v>
      </c>
      <c r="J14" s="160">
        <f t="shared" ca="1" si="1"/>
        <v>46477</v>
      </c>
      <c r="K14" s="164">
        <f t="shared" ca="1" si="0"/>
        <v>2027</v>
      </c>
      <c r="L14" s="165">
        <f t="shared" ca="1" si="2"/>
        <v>355.14</v>
      </c>
      <c r="M14" s="165">
        <f t="shared" ca="1" si="3"/>
        <v>331.13</v>
      </c>
      <c r="N14" s="165">
        <f>0</f>
        <v>0</v>
      </c>
      <c r="O14" s="171">
        <f t="shared" ca="1" si="4"/>
        <v>24.01</v>
      </c>
      <c r="P14" s="142">
        <v>11</v>
      </c>
      <c r="Q14" s="62">
        <v>46477</v>
      </c>
      <c r="R14" s="63">
        <v>2027</v>
      </c>
      <c r="S14" s="63">
        <v>355.14</v>
      </c>
      <c r="T14" s="63">
        <v>331.13</v>
      </c>
      <c r="U14" s="63"/>
      <c r="V14" s="63">
        <v>24.01</v>
      </c>
      <c r="W14" s="64" t="s">
        <v>1104</v>
      </c>
      <c r="X14" s="90">
        <v>11</v>
      </c>
      <c r="Y14" s="91">
        <v>46477</v>
      </c>
      <c r="Z14" s="92">
        <v>2027</v>
      </c>
      <c r="AA14" s="92">
        <v>355.14</v>
      </c>
      <c r="AB14" s="92">
        <v>331.13</v>
      </c>
      <c r="AC14" s="92"/>
      <c r="AD14" s="92">
        <v>24.01</v>
      </c>
      <c r="AE14" s="93" t="s">
        <v>1104</v>
      </c>
      <c r="AF14" s="61">
        <v>11</v>
      </c>
      <c r="AG14" s="62">
        <v>46477</v>
      </c>
      <c r="AH14" s="63">
        <v>2027</v>
      </c>
      <c r="AI14" s="63">
        <v>355.14</v>
      </c>
      <c r="AJ14" s="63">
        <v>331.13</v>
      </c>
      <c r="AK14" s="63"/>
      <c r="AL14" s="63">
        <v>24.01</v>
      </c>
      <c r="AM14" s="94" t="s">
        <v>1104</v>
      </c>
      <c r="AN14" s="44"/>
      <c r="AO14" s="44"/>
      <c r="AP14" s="44"/>
      <c r="AQ14" s="45"/>
      <c r="AR14" s="45"/>
    </row>
    <row r="15" spans="1:45" ht="60">
      <c r="A15" s="294"/>
      <c r="B15" s="189" t="s">
        <v>1087</v>
      </c>
      <c r="C15" s="190">
        <v>46507</v>
      </c>
      <c r="D15" s="191">
        <v>2027</v>
      </c>
      <c r="E15" s="192">
        <v>355.14</v>
      </c>
      <c r="F15" s="192">
        <v>332.51</v>
      </c>
      <c r="G15" s="192"/>
      <c r="H15" s="193">
        <v>22.63</v>
      </c>
      <c r="I15" s="170">
        <v>12</v>
      </c>
      <c r="J15" s="160">
        <f t="shared" ca="1" si="1"/>
        <v>46507</v>
      </c>
      <c r="K15" s="164">
        <f t="shared" ca="1" si="0"/>
        <v>2027</v>
      </c>
      <c r="L15" s="165">
        <f t="shared" ca="1" si="2"/>
        <v>355.14</v>
      </c>
      <c r="M15" s="165">
        <f t="shared" ca="1" si="3"/>
        <v>332.51</v>
      </c>
      <c r="N15" s="165">
        <f>0</f>
        <v>0</v>
      </c>
      <c r="O15" s="171">
        <f t="shared" ca="1" si="4"/>
        <v>22.63</v>
      </c>
      <c r="P15" s="142">
        <v>12</v>
      </c>
      <c r="Q15" s="62">
        <v>46507</v>
      </c>
      <c r="R15" s="63">
        <v>2027</v>
      </c>
      <c r="S15" s="63">
        <v>355.14</v>
      </c>
      <c r="T15" s="63">
        <v>332.51</v>
      </c>
      <c r="U15" s="63"/>
      <c r="V15" s="63">
        <v>22.63</v>
      </c>
      <c r="W15" s="64" t="s">
        <v>1104</v>
      </c>
      <c r="X15" s="90">
        <v>12</v>
      </c>
      <c r="Y15" s="91">
        <v>46507</v>
      </c>
      <c r="Z15" s="92">
        <v>2027</v>
      </c>
      <c r="AA15" s="92">
        <v>355.14</v>
      </c>
      <c r="AB15" s="92">
        <v>332.51</v>
      </c>
      <c r="AC15" s="92"/>
      <c r="AD15" s="92">
        <v>22.63</v>
      </c>
      <c r="AE15" s="93" t="s">
        <v>1104</v>
      </c>
      <c r="AF15" s="61">
        <v>12</v>
      </c>
      <c r="AG15" s="62">
        <v>46507</v>
      </c>
      <c r="AH15" s="63">
        <v>2027</v>
      </c>
      <c r="AI15" s="63">
        <v>355.14</v>
      </c>
      <c r="AJ15" s="63">
        <v>332.51</v>
      </c>
      <c r="AK15" s="63"/>
      <c r="AL15" s="63">
        <v>22.63</v>
      </c>
      <c r="AM15" s="94" t="s">
        <v>1104</v>
      </c>
      <c r="AN15" s="44"/>
      <c r="AO15" s="44"/>
      <c r="AP15" s="44"/>
      <c r="AQ15" s="45"/>
      <c r="AR15" s="45"/>
    </row>
    <row r="16" spans="1:45" ht="60">
      <c r="A16" s="294"/>
      <c r="B16" s="189" t="s">
        <v>1088</v>
      </c>
      <c r="C16" s="190">
        <v>46538</v>
      </c>
      <c r="D16" s="191">
        <v>2027</v>
      </c>
      <c r="E16" s="192">
        <v>355.14</v>
      </c>
      <c r="F16" s="192">
        <v>333.89</v>
      </c>
      <c r="G16" s="192"/>
      <c r="H16" s="193">
        <v>21.25</v>
      </c>
      <c r="I16" s="170">
        <v>13</v>
      </c>
      <c r="J16" s="160">
        <f t="shared" ca="1" si="1"/>
        <v>46538</v>
      </c>
      <c r="K16" s="164">
        <f t="shared" ca="1" si="0"/>
        <v>2027</v>
      </c>
      <c r="L16" s="165">
        <f t="shared" ca="1" si="2"/>
        <v>355.14</v>
      </c>
      <c r="M16" s="165">
        <f t="shared" ca="1" si="3"/>
        <v>333.89</v>
      </c>
      <c r="N16" s="165">
        <f>0</f>
        <v>0</v>
      </c>
      <c r="O16" s="171">
        <f t="shared" ca="1" si="4"/>
        <v>21.25</v>
      </c>
      <c r="P16" s="142">
        <v>13</v>
      </c>
      <c r="Q16" s="62">
        <v>46538</v>
      </c>
      <c r="R16" s="63">
        <v>2027</v>
      </c>
      <c r="S16" s="63">
        <v>355.14</v>
      </c>
      <c r="T16" s="63">
        <v>333.89</v>
      </c>
      <c r="U16" s="63"/>
      <c r="V16" s="63">
        <v>21.25</v>
      </c>
      <c r="W16" s="64" t="s">
        <v>1104</v>
      </c>
      <c r="X16" s="90">
        <v>13</v>
      </c>
      <c r="Y16" s="91">
        <v>46538</v>
      </c>
      <c r="Z16" s="92">
        <v>2027</v>
      </c>
      <c r="AA16" s="92">
        <v>355.14</v>
      </c>
      <c r="AB16" s="92">
        <v>333.89</v>
      </c>
      <c r="AC16" s="92"/>
      <c r="AD16" s="92">
        <v>21.25</v>
      </c>
      <c r="AE16" s="93" t="s">
        <v>1104</v>
      </c>
      <c r="AF16" s="61">
        <v>13</v>
      </c>
      <c r="AG16" s="62">
        <v>46538</v>
      </c>
      <c r="AH16" s="63">
        <v>2027</v>
      </c>
      <c r="AI16" s="63">
        <v>355.14</v>
      </c>
      <c r="AJ16" s="63">
        <v>333.89</v>
      </c>
      <c r="AK16" s="63"/>
      <c r="AL16" s="63">
        <v>21.25</v>
      </c>
      <c r="AM16" s="94" t="s">
        <v>1104</v>
      </c>
      <c r="AN16" s="44"/>
      <c r="AO16" s="44"/>
      <c r="AP16" s="44"/>
      <c r="AQ16" s="45"/>
      <c r="AR16" s="45"/>
    </row>
    <row r="17" spans="1:44" ht="60">
      <c r="A17" s="294"/>
      <c r="B17" s="189" t="s">
        <v>1089</v>
      </c>
      <c r="C17" s="190">
        <v>46568</v>
      </c>
      <c r="D17" s="191">
        <v>2027</v>
      </c>
      <c r="E17" s="192">
        <v>355.14</v>
      </c>
      <c r="F17" s="192">
        <v>335.28</v>
      </c>
      <c r="G17" s="192"/>
      <c r="H17" s="193">
        <v>19.86</v>
      </c>
      <c r="I17" s="170">
        <v>14</v>
      </c>
      <c r="J17" s="160">
        <f t="shared" ca="1" si="1"/>
        <v>46568</v>
      </c>
      <c r="K17" s="164">
        <f t="shared" ca="1" si="0"/>
        <v>2027</v>
      </c>
      <c r="L17" s="165">
        <f t="shared" ca="1" si="2"/>
        <v>355.14</v>
      </c>
      <c r="M17" s="165">
        <f t="shared" ca="1" si="3"/>
        <v>335.28</v>
      </c>
      <c r="N17" s="165">
        <f>0</f>
        <v>0</v>
      </c>
      <c r="O17" s="171">
        <f t="shared" ca="1" si="4"/>
        <v>19.86</v>
      </c>
      <c r="P17" s="142">
        <v>14</v>
      </c>
      <c r="Q17" s="62">
        <v>46568</v>
      </c>
      <c r="R17" s="63">
        <v>2027</v>
      </c>
      <c r="S17" s="63">
        <v>355.14</v>
      </c>
      <c r="T17" s="63">
        <v>335.28</v>
      </c>
      <c r="U17" s="63"/>
      <c r="V17" s="63">
        <v>19.86</v>
      </c>
      <c r="W17" s="64" t="s">
        <v>1104</v>
      </c>
      <c r="X17" s="90">
        <v>14</v>
      </c>
      <c r="Y17" s="91">
        <v>46568</v>
      </c>
      <c r="Z17" s="92">
        <v>2027</v>
      </c>
      <c r="AA17" s="92">
        <v>355.14</v>
      </c>
      <c r="AB17" s="92">
        <v>335.28</v>
      </c>
      <c r="AC17" s="92"/>
      <c r="AD17" s="92">
        <v>19.86</v>
      </c>
      <c r="AE17" s="93" t="s">
        <v>1104</v>
      </c>
      <c r="AF17" s="61">
        <v>14</v>
      </c>
      <c r="AG17" s="62">
        <v>46568</v>
      </c>
      <c r="AH17" s="63">
        <v>2027</v>
      </c>
      <c r="AI17" s="63">
        <v>355.14</v>
      </c>
      <c r="AJ17" s="63">
        <v>335.28</v>
      </c>
      <c r="AK17" s="63"/>
      <c r="AL17" s="63">
        <v>19.86</v>
      </c>
      <c r="AM17" s="94" t="s">
        <v>1104</v>
      </c>
      <c r="AN17" s="44"/>
      <c r="AO17" s="44"/>
      <c r="AP17" s="44"/>
      <c r="AQ17" s="45"/>
      <c r="AR17" s="45"/>
    </row>
    <row r="18" spans="1:44" ht="60">
      <c r="A18" s="294"/>
      <c r="B18" s="189" t="s">
        <v>1090</v>
      </c>
      <c r="C18" s="190">
        <v>46599</v>
      </c>
      <c r="D18" s="191">
        <v>2027</v>
      </c>
      <c r="E18" s="192">
        <v>355.14</v>
      </c>
      <c r="F18" s="192">
        <v>336.68</v>
      </c>
      <c r="G18" s="192"/>
      <c r="H18" s="193">
        <v>18.46</v>
      </c>
      <c r="I18" s="170">
        <v>15</v>
      </c>
      <c r="J18" s="160">
        <f t="shared" ca="1" si="1"/>
        <v>46599</v>
      </c>
      <c r="K18" s="164">
        <f t="shared" ca="1" si="0"/>
        <v>2027</v>
      </c>
      <c r="L18" s="165">
        <f t="shared" ca="1" si="2"/>
        <v>355.14</v>
      </c>
      <c r="M18" s="165">
        <f t="shared" ca="1" si="3"/>
        <v>336.68</v>
      </c>
      <c r="N18" s="165">
        <f>0</f>
        <v>0</v>
      </c>
      <c r="O18" s="171">
        <f t="shared" ca="1" si="4"/>
        <v>18.46</v>
      </c>
      <c r="P18" s="142">
        <v>15</v>
      </c>
      <c r="Q18" s="62">
        <v>46599</v>
      </c>
      <c r="R18" s="63">
        <v>2027</v>
      </c>
      <c r="S18" s="63">
        <v>355.14</v>
      </c>
      <c r="T18" s="63">
        <v>336.68</v>
      </c>
      <c r="U18" s="63"/>
      <c r="V18" s="63">
        <v>18.46</v>
      </c>
      <c r="W18" s="64" t="s">
        <v>1104</v>
      </c>
      <c r="X18" s="90">
        <v>15</v>
      </c>
      <c r="Y18" s="91">
        <v>46599</v>
      </c>
      <c r="Z18" s="92">
        <v>2027</v>
      </c>
      <c r="AA18" s="92">
        <v>355.14</v>
      </c>
      <c r="AB18" s="92">
        <v>336.68</v>
      </c>
      <c r="AC18" s="92"/>
      <c r="AD18" s="92">
        <v>18.46</v>
      </c>
      <c r="AE18" s="93" t="s">
        <v>1104</v>
      </c>
      <c r="AF18" s="61">
        <v>15</v>
      </c>
      <c r="AG18" s="62">
        <v>46599</v>
      </c>
      <c r="AH18" s="63">
        <v>2027</v>
      </c>
      <c r="AI18" s="63">
        <v>355.14</v>
      </c>
      <c r="AJ18" s="63">
        <v>336.68</v>
      </c>
      <c r="AK18" s="63"/>
      <c r="AL18" s="63">
        <v>18.46</v>
      </c>
      <c r="AM18" s="94" t="s">
        <v>1104</v>
      </c>
      <c r="AN18" s="44"/>
      <c r="AO18" s="44"/>
      <c r="AP18" s="44"/>
      <c r="AQ18" s="45"/>
      <c r="AR18" s="45"/>
    </row>
    <row r="19" spans="1:44" ht="60">
      <c r="A19" s="294"/>
      <c r="B19" s="189" t="s">
        <v>1091</v>
      </c>
      <c r="C19" s="190">
        <v>46630</v>
      </c>
      <c r="D19" s="191">
        <v>2027</v>
      </c>
      <c r="E19" s="192">
        <v>355.14</v>
      </c>
      <c r="F19" s="192">
        <v>338.08</v>
      </c>
      <c r="G19" s="192"/>
      <c r="H19" s="193">
        <v>17.059999999999999</v>
      </c>
      <c r="I19" s="170">
        <v>16</v>
      </c>
      <c r="J19" s="160">
        <f t="shared" ca="1" si="1"/>
        <v>46630</v>
      </c>
      <c r="K19" s="164">
        <f t="shared" ca="1" si="0"/>
        <v>2027</v>
      </c>
      <c r="L19" s="165">
        <f t="shared" ca="1" si="2"/>
        <v>355.14</v>
      </c>
      <c r="M19" s="165">
        <f t="shared" ca="1" si="3"/>
        <v>338.08</v>
      </c>
      <c r="N19" s="165">
        <f>0</f>
        <v>0</v>
      </c>
      <c r="O19" s="171">
        <f t="shared" ca="1" si="4"/>
        <v>17.059999999999999</v>
      </c>
      <c r="P19" s="142">
        <v>16</v>
      </c>
      <c r="Q19" s="62">
        <v>46630</v>
      </c>
      <c r="R19" s="63">
        <v>2027</v>
      </c>
      <c r="S19" s="63">
        <v>355.14</v>
      </c>
      <c r="T19" s="63">
        <v>338.08</v>
      </c>
      <c r="U19" s="63"/>
      <c r="V19" s="63">
        <v>17.059999999999999</v>
      </c>
      <c r="W19" s="64" t="s">
        <v>1104</v>
      </c>
      <c r="X19" s="90">
        <v>16</v>
      </c>
      <c r="Y19" s="91">
        <v>46630</v>
      </c>
      <c r="Z19" s="92">
        <v>2027</v>
      </c>
      <c r="AA19" s="92">
        <v>355.14</v>
      </c>
      <c r="AB19" s="92">
        <v>338.08</v>
      </c>
      <c r="AC19" s="92"/>
      <c r="AD19" s="92">
        <v>17.059999999999999</v>
      </c>
      <c r="AE19" s="93" t="s">
        <v>1104</v>
      </c>
      <c r="AF19" s="61">
        <v>16</v>
      </c>
      <c r="AG19" s="62">
        <v>46630</v>
      </c>
      <c r="AH19" s="63">
        <v>2027</v>
      </c>
      <c r="AI19" s="63">
        <v>355.14</v>
      </c>
      <c r="AJ19" s="63">
        <v>338.08</v>
      </c>
      <c r="AK19" s="63"/>
      <c r="AL19" s="63">
        <v>17.059999999999999</v>
      </c>
      <c r="AM19" s="94" t="s">
        <v>1104</v>
      </c>
      <c r="AN19" s="44"/>
      <c r="AO19" s="44"/>
      <c r="AP19" s="44"/>
      <c r="AQ19" s="45"/>
      <c r="AR19" s="45"/>
    </row>
    <row r="20" spans="1:44" ht="60">
      <c r="A20" s="294"/>
      <c r="B20" s="189" t="s">
        <v>1092</v>
      </c>
      <c r="C20" s="190">
        <v>46660</v>
      </c>
      <c r="D20" s="191">
        <v>2027</v>
      </c>
      <c r="E20" s="192">
        <v>355.14</v>
      </c>
      <c r="F20" s="192">
        <v>339.49</v>
      </c>
      <c r="G20" s="192"/>
      <c r="H20" s="193">
        <v>15.65</v>
      </c>
      <c r="I20" s="170">
        <v>17</v>
      </c>
      <c r="J20" s="160">
        <f t="shared" ca="1" si="1"/>
        <v>46660</v>
      </c>
      <c r="K20" s="164">
        <f t="shared" ca="1" si="0"/>
        <v>2027</v>
      </c>
      <c r="L20" s="165">
        <f t="shared" ca="1" si="2"/>
        <v>355.14</v>
      </c>
      <c r="M20" s="165">
        <f t="shared" ca="1" si="3"/>
        <v>339.49</v>
      </c>
      <c r="N20" s="165">
        <f>0</f>
        <v>0</v>
      </c>
      <c r="O20" s="171">
        <f t="shared" ca="1" si="4"/>
        <v>15.65</v>
      </c>
      <c r="P20" s="142">
        <v>17</v>
      </c>
      <c r="Q20" s="62">
        <v>46660</v>
      </c>
      <c r="R20" s="63">
        <v>2027</v>
      </c>
      <c r="S20" s="63">
        <v>355.14</v>
      </c>
      <c r="T20" s="63">
        <v>339.49</v>
      </c>
      <c r="U20" s="63"/>
      <c r="V20" s="63">
        <v>15.65</v>
      </c>
      <c r="W20" s="64" t="s">
        <v>1104</v>
      </c>
      <c r="X20" s="90">
        <v>17</v>
      </c>
      <c r="Y20" s="91">
        <v>46660</v>
      </c>
      <c r="Z20" s="92">
        <v>2027</v>
      </c>
      <c r="AA20" s="92">
        <v>355.14</v>
      </c>
      <c r="AB20" s="92">
        <v>339.49</v>
      </c>
      <c r="AC20" s="92"/>
      <c r="AD20" s="92">
        <v>15.65</v>
      </c>
      <c r="AE20" s="93" t="s">
        <v>1104</v>
      </c>
      <c r="AF20" s="61">
        <v>17</v>
      </c>
      <c r="AG20" s="62">
        <v>46660</v>
      </c>
      <c r="AH20" s="63">
        <v>2027</v>
      </c>
      <c r="AI20" s="63">
        <v>355.14</v>
      </c>
      <c r="AJ20" s="63">
        <v>339.49</v>
      </c>
      <c r="AK20" s="63"/>
      <c r="AL20" s="63">
        <v>15.65</v>
      </c>
      <c r="AM20" s="94" t="s">
        <v>1104</v>
      </c>
      <c r="AN20" s="44"/>
      <c r="AO20" s="44"/>
      <c r="AP20" s="44"/>
      <c r="AQ20" s="45"/>
      <c r="AR20" s="45"/>
    </row>
    <row r="21" spans="1:44" ht="60">
      <c r="A21" s="294"/>
      <c r="B21" s="189" t="s">
        <v>1093</v>
      </c>
      <c r="C21" s="190">
        <v>46691</v>
      </c>
      <c r="D21" s="191">
        <v>2027</v>
      </c>
      <c r="E21" s="192">
        <v>355.14</v>
      </c>
      <c r="F21" s="192">
        <v>340.91</v>
      </c>
      <c r="G21" s="192"/>
      <c r="H21" s="193">
        <v>14.23</v>
      </c>
      <c r="I21" s="170">
        <v>18</v>
      </c>
      <c r="J21" s="160">
        <f t="shared" ca="1" si="1"/>
        <v>46691</v>
      </c>
      <c r="K21" s="164">
        <f t="shared" ca="1" si="0"/>
        <v>2027</v>
      </c>
      <c r="L21" s="165">
        <f t="shared" ca="1" si="2"/>
        <v>355.14</v>
      </c>
      <c r="M21" s="165">
        <f t="shared" ca="1" si="3"/>
        <v>340.91</v>
      </c>
      <c r="N21" s="165">
        <f>0</f>
        <v>0</v>
      </c>
      <c r="O21" s="171">
        <f t="shared" ca="1" si="4"/>
        <v>14.23</v>
      </c>
      <c r="P21" s="142">
        <v>18</v>
      </c>
      <c r="Q21" s="62">
        <v>46691</v>
      </c>
      <c r="R21" s="63">
        <v>2027</v>
      </c>
      <c r="S21" s="63">
        <v>355.14</v>
      </c>
      <c r="T21" s="63">
        <v>340.91</v>
      </c>
      <c r="U21" s="63"/>
      <c r="V21" s="63">
        <v>14.23</v>
      </c>
      <c r="W21" s="64" t="s">
        <v>1104</v>
      </c>
      <c r="X21" s="90">
        <v>18</v>
      </c>
      <c r="Y21" s="91">
        <v>46691</v>
      </c>
      <c r="Z21" s="92">
        <v>2027</v>
      </c>
      <c r="AA21" s="92">
        <v>355.14</v>
      </c>
      <c r="AB21" s="92">
        <v>340.91</v>
      </c>
      <c r="AC21" s="92"/>
      <c r="AD21" s="92">
        <v>14.23</v>
      </c>
      <c r="AE21" s="93" t="s">
        <v>1104</v>
      </c>
      <c r="AF21" s="61">
        <v>18</v>
      </c>
      <c r="AG21" s="62">
        <v>46691</v>
      </c>
      <c r="AH21" s="63">
        <v>2027</v>
      </c>
      <c r="AI21" s="63">
        <v>355.14</v>
      </c>
      <c r="AJ21" s="63">
        <v>340.91</v>
      </c>
      <c r="AK21" s="63"/>
      <c r="AL21" s="63">
        <v>14.23</v>
      </c>
      <c r="AM21" s="94" t="s">
        <v>1104</v>
      </c>
      <c r="AN21" s="44"/>
      <c r="AO21" s="44"/>
      <c r="AP21" s="44"/>
      <c r="AQ21" s="45"/>
      <c r="AR21" s="45"/>
    </row>
    <row r="22" spans="1:44" ht="60">
      <c r="A22" s="294"/>
      <c r="B22" s="189" t="s">
        <v>1094</v>
      </c>
      <c r="C22" s="190">
        <v>46721</v>
      </c>
      <c r="D22" s="191">
        <v>2027</v>
      </c>
      <c r="E22" s="192">
        <v>355.14</v>
      </c>
      <c r="F22" s="192">
        <v>342.33</v>
      </c>
      <c r="G22" s="192"/>
      <c r="H22" s="193">
        <v>12.81</v>
      </c>
      <c r="I22" s="170">
        <v>19</v>
      </c>
      <c r="J22" s="160">
        <f t="shared" ca="1" si="1"/>
        <v>46721</v>
      </c>
      <c r="K22" s="164">
        <f t="shared" ca="1" si="0"/>
        <v>2027</v>
      </c>
      <c r="L22" s="165">
        <f t="shared" ca="1" si="2"/>
        <v>355.14</v>
      </c>
      <c r="M22" s="165">
        <f t="shared" ca="1" si="3"/>
        <v>342.33</v>
      </c>
      <c r="N22" s="165">
        <f>0</f>
        <v>0</v>
      </c>
      <c r="O22" s="171">
        <f t="shared" ca="1" si="4"/>
        <v>12.81</v>
      </c>
      <c r="P22" s="142">
        <v>19</v>
      </c>
      <c r="Q22" s="62">
        <v>46721</v>
      </c>
      <c r="R22" s="63">
        <v>2027</v>
      </c>
      <c r="S22" s="63">
        <v>355.14</v>
      </c>
      <c r="T22" s="63">
        <v>342.33</v>
      </c>
      <c r="U22" s="63"/>
      <c r="V22" s="63">
        <v>12.81</v>
      </c>
      <c r="W22" s="64" t="s">
        <v>1104</v>
      </c>
      <c r="X22" s="90">
        <v>19</v>
      </c>
      <c r="Y22" s="91">
        <v>46721</v>
      </c>
      <c r="Z22" s="92">
        <v>2027</v>
      </c>
      <c r="AA22" s="92">
        <v>355.14</v>
      </c>
      <c r="AB22" s="92">
        <v>342.33</v>
      </c>
      <c r="AC22" s="92"/>
      <c r="AD22" s="92">
        <v>12.81</v>
      </c>
      <c r="AE22" s="93" t="s">
        <v>1104</v>
      </c>
      <c r="AF22" s="61">
        <v>19</v>
      </c>
      <c r="AG22" s="62">
        <v>46721</v>
      </c>
      <c r="AH22" s="63">
        <v>2027</v>
      </c>
      <c r="AI22" s="63">
        <v>355.14</v>
      </c>
      <c r="AJ22" s="63">
        <v>342.33</v>
      </c>
      <c r="AK22" s="63"/>
      <c r="AL22" s="63">
        <v>12.81</v>
      </c>
      <c r="AM22" s="94" t="s">
        <v>1104</v>
      </c>
      <c r="AN22" s="44"/>
      <c r="AO22" s="44"/>
      <c r="AP22" s="44"/>
      <c r="AQ22" s="45"/>
      <c r="AR22" s="45"/>
    </row>
    <row r="23" spans="1:44" ht="60">
      <c r="A23" s="294"/>
      <c r="B23" s="189" t="s">
        <v>1095</v>
      </c>
      <c r="C23" s="190">
        <v>46752</v>
      </c>
      <c r="D23" s="191">
        <v>2027</v>
      </c>
      <c r="E23" s="192">
        <v>355.14</v>
      </c>
      <c r="F23" s="192">
        <v>343.75</v>
      </c>
      <c r="G23" s="192"/>
      <c r="H23" s="193">
        <v>11.39</v>
      </c>
      <c r="I23" s="170">
        <v>20</v>
      </c>
      <c r="J23" s="160">
        <f t="shared" ca="1" si="1"/>
        <v>46752</v>
      </c>
      <c r="K23" s="164">
        <f t="shared" ca="1" si="0"/>
        <v>2027</v>
      </c>
      <c r="L23" s="165">
        <f t="shared" ca="1" si="2"/>
        <v>355.14</v>
      </c>
      <c r="M23" s="165">
        <f t="shared" ca="1" si="3"/>
        <v>343.75</v>
      </c>
      <c r="N23" s="165">
        <f>0</f>
        <v>0</v>
      </c>
      <c r="O23" s="171">
        <f t="shared" ca="1" si="4"/>
        <v>11.39</v>
      </c>
      <c r="P23" s="142">
        <v>20</v>
      </c>
      <c r="Q23" s="62">
        <v>46752</v>
      </c>
      <c r="R23" s="63">
        <v>2027</v>
      </c>
      <c r="S23" s="63">
        <v>355.14</v>
      </c>
      <c r="T23" s="63">
        <v>343.75</v>
      </c>
      <c r="U23" s="63"/>
      <c r="V23" s="63">
        <v>11.39</v>
      </c>
      <c r="W23" s="64" t="s">
        <v>1104</v>
      </c>
      <c r="X23" s="90">
        <v>20</v>
      </c>
      <c r="Y23" s="91">
        <v>46752</v>
      </c>
      <c r="Z23" s="92">
        <v>2027</v>
      </c>
      <c r="AA23" s="92">
        <v>355.14</v>
      </c>
      <c r="AB23" s="92">
        <v>343.75</v>
      </c>
      <c r="AC23" s="92"/>
      <c r="AD23" s="92">
        <v>11.39</v>
      </c>
      <c r="AE23" s="93" t="s">
        <v>1104</v>
      </c>
      <c r="AF23" s="61">
        <v>20</v>
      </c>
      <c r="AG23" s="62">
        <v>46752</v>
      </c>
      <c r="AH23" s="63">
        <v>2027</v>
      </c>
      <c r="AI23" s="63">
        <v>355.14</v>
      </c>
      <c r="AJ23" s="63">
        <v>343.75</v>
      </c>
      <c r="AK23" s="63"/>
      <c r="AL23" s="63">
        <v>11.39</v>
      </c>
      <c r="AM23" s="94" t="s">
        <v>1104</v>
      </c>
      <c r="AN23" s="44"/>
      <c r="AO23" s="44"/>
      <c r="AP23" s="44"/>
      <c r="AQ23" s="45"/>
      <c r="AR23" s="45"/>
    </row>
    <row r="24" spans="1:44" ht="60">
      <c r="A24" s="294"/>
      <c r="B24" s="189" t="s">
        <v>1096</v>
      </c>
      <c r="C24" s="190">
        <v>46783</v>
      </c>
      <c r="D24" s="191">
        <v>2028</v>
      </c>
      <c r="E24" s="192">
        <v>355.14</v>
      </c>
      <c r="F24" s="192">
        <v>345.18</v>
      </c>
      <c r="G24" s="192"/>
      <c r="H24" s="193">
        <v>9.9600000000000009</v>
      </c>
      <c r="I24" s="170">
        <v>21</v>
      </c>
      <c r="J24" s="160">
        <f t="shared" ca="1" si="1"/>
        <v>46783</v>
      </c>
      <c r="K24" s="164">
        <f t="shared" ca="1" si="0"/>
        <v>2028</v>
      </c>
      <c r="L24" s="165">
        <f t="shared" ca="1" si="2"/>
        <v>355.14</v>
      </c>
      <c r="M24" s="165">
        <f t="shared" ca="1" si="3"/>
        <v>345.18</v>
      </c>
      <c r="N24" s="165">
        <f>0</f>
        <v>0</v>
      </c>
      <c r="O24" s="171">
        <f t="shared" ca="1" si="4"/>
        <v>9.9600000000000009</v>
      </c>
      <c r="P24" s="142">
        <v>21</v>
      </c>
      <c r="Q24" s="62">
        <v>46783</v>
      </c>
      <c r="R24" s="63">
        <v>2028</v>
      </c>
      <c r="S24" s="63">
        <v>355.14</v>
      </c>
      <c r="T24" s="63">
        <v>345.18</v>
      </c>
      <c r="U24" s="63"/>
      <c r="V24" s="63">
        <v>9.9600000000000009</v>
      </c>
      <c r="W24" s="64" t="s">
        <v>1104</v>
      </c>
      <c r="X24" s="90">
        <v>21</v>
      </c>
      <c r="Y24" s="91">
        <v>46783</v>
      </c>
      <c r="Z24" s="92">
        <v>2028</v>
      </c>
      <c r="AA24" s="92">
        <v>355.14</v>
      </c>
      <c r="AB24" s="92">
        <v>345.18</v>
      </c>
      <c r="AC24" s="92"/>
      <c r="AD24" s="92">
        <v>9.9600000000000009</v>
      </c>
      <c r="AE24" s="93" t="s">
        <v>1104</v>
      </c>
      <c r="AF24" s="61">
        <v>21</v>
      </c>
      <c r="AG24" s="62">
        <v>46783</v>
      </c>
      <c r="AH24" s="63">
        <v>2028</v>
      </c>
      <c r="AI24" s="63">
        <v>355.14</v>
      </c>
      <c r="AJ24" s="63">
        <v>345.18</v>
      </c>
      <c r="AK24" s="63"/>
      <c r="AL24" s="63">
        <v>9.9600000000000009</v>
      </c>
      <c r="AM24" s="94" t="s">
        <v>1104</v>
      </c>
      <c r="AN24" s="44"/>
      <c r="AO24" s="44"/>
      <c r="AP24" s="44"/>
      <c r="AQ24" s="45"/>
      <c r="AR24" s="45"/>
    </row>
    <row r="25" spans="1:44" ht="60">
      <c r="A25" s="294"/>
      <c r="B25" s="189" t="s">
        <v>1097</v>
      </c>
      <c r="C25" s="190">
        <v>46812</v>
      </c>
      <c r="D25" s="191">
        <v>2028</v>
      </c>
      <c r="E25" s="192">
        <v>355.14</v>
      </c>
      <c r="F25" s="192">
        <v>346.62</v>
      </c>
      <c r="G25" s="192"/>
      <c r="H25" s="193">
        <v>8.52</v>
      </c>
      <c r="I25" s="170">
        <v>22</v>
      </c>
      <c r="J25" s="160">
        <f t="shared" ca="1" si="1"/>
        <v>46812</v>
      </c>
      <c r="K25" s="164">
        <f t="shared" ca="1" si="0"/>
        <v>2028</v>
      </c>
      <c r="L25" s="165">
        <f t="shared" ca="1" si="2"/>
        <v>355.14</v>
      </c>
      <c r="M25" s="165">
        <f t="shared" ca="1" si="3"/>
        <v>346.62</v>
      </c>
      <c r="N25" s="165">
        <f>0</f>
        <v>0</v>
      </c>
      <c r="O25" s="171">
        <f t="shared" ca="1" si="4"/>
        <v>8.52</v>
      </c>
      <c r="P25" s="142">
        <v>22</v>
      </c>
      <c r="Q25" s="62">
        <v>46812</v>
      </c>
      <c r="R25" s="63">
        <v>2028</v>
      </c>
      <c r="S25" s="63">
        <v>355.14</v>
      </c>
      <c r="T25" s="63">
        <v>346.62</v>
      </c>
      <c r="U25" s="63"/>
      <c r="V25" s="63">
        <v>8.52</v>
      </c>
      <c r="W25" s="64" t="s">
        <v>1104</v>
      </c>
      <c r="X25" s="90">
        <v>22</v>
      </c>
      <c r="Y25" s="91">
        <v>46812</v>
      </c>
      <c r="Z25" s="92">
        <v>2028</v>
      </c>
      <c r="AA25" s="92">
        <v>355.14</v>
      </c>
      <c r="AB25" s="92">
        <v>346.62</v>
      </c>
      <c r="AC25" s="92"/>
      <c r="AD25" s="92">
        <v>8.52</v>
      </c>
      <c r="AE25" s="93" t="s">
        <v>1104</v>
      </c>
      <c r="AF25" s="61">
        <v>22</v>
      </c>
      <c r="AG25" s="62">
        <v>46812</v>
      </c>
      <c r="AH25" s="63">
        <v>2028</v>
      </c>
      <c r="AI25" s="63">
        <v>355.14</v>
      </c>
      <c r="AJ25" s="63">
        <v>346.62</v>
      </c>
      <c r="AK25" s="63"/>
      <c r="AL25" s="63">
        <v>8.52</v>
      </c>
      <c r="AM25" s="94" t="s">
        <v>1104</v>
      </c>
      <c r="AN25" s="44"/>
      <c r="AO25" s="44"/>
      <c r="AP25" s="44"/>
      <c r="AQ25" s="45"/>
      <c r="AR25" s="45"/>
    </row>
    <row r="26" spans="1:44" ht="60">
      <c r="A26" s="294"/>
      <c r="B26" s="189" t="s">
        <v>1098</v>
      </c>
      <c r="C26" s="190">
        <v>46843</v>
      </c>
      <c r="D26" s="191">
        <v>2028</v>
      </c>
      <c r="E26" s="192">
        <v>355.14</v>
      </c>
      <c r="F26" s="192">
        <v>348.07</v>
      </c>
      <c r="G26" s="192"/>
      <c r="H26" s="193">
        <v>7.07</v>
      </c>
      <c r="I26" s="170">
        <v>23</v>
      </c>
      <c r="J26" s="160">
        <f t="shared" ca="1" si="1"/>
        <v>46843</v>
      </c>
      <c r="K26" s="164">
        <f t="shared" ca="1" si="0"/>
        <v>2028</v>
      </c>
      <c r="L26" s="165">
        <f t="shared" ca="1" si="2"/>
        <v>355.14</v>
      </c>
      <c r="M26" s="165">
        <f t="shared" ca="1" si="3"/>
        <v>348.07</v>
      </c>
      <c r="N26" s="165">
        <f>0</f>
        <v>0</v>
      </c>
      <c r="O26" s="171">
        <f t="shared" ca="1" si="4"/>
        <v>7.07</v>
      </c>
      <c r="P26" s="142">
        <v>23</v>
      </c>
      <c r="Q26" s="62">
        <v>46843</v>
      </c>
      <c r="R26" s="63">
        <v>2028</v>
      </c>
      <c r="S26" s="63">
        <v>355.14</v>
      </c>
      <c r="T26" s="63">
        <v>348.07</v>
      </c>
      <c r="U26" s="63"/>
      <c r="V26" s="63">
        <v>7.07</v>
      </c>
      <c r="W26" s="64" t="s">
        <v>1104</v>
      </c>
      <c r="X26" s="90">
        <v>23</v>
      </c>
      <c r="Y26" s="91">
        <v>46843</v>
      </c>
      <c r="Z26" s="92">
        <v>2028</v>
      </c>
      <c r="AA26" s="92">
        <v>355.14</v>
      </c>
      <c r="AB26" s="92">
        <v>348.07</v>
      </c>
      <c r="AC26" s="92"/>
      <c r="AD26" s="92">
        <v>7.07</v>
      </c>
      <c r="AE26" s="93" t="s">
        <v>1104</v>
      </c>
      <c r="AF26" s="61">
        <v>23</v>
      </c>
      <c r="AG26" s="62">
        <v>46843</v>
      </c>
      <c r="AH26" s="63">
        <v>2028</v>
      </c>
      <c r="AI26" s="63">
        <v>355.14</v>
      </c>
      <c r="AJ26" s="63">
        <v>348.07</v>
      </c>
      <c r="AK26" s="63"/>
      <c r="AL26" s="63">
        <v>7.07</v>
      </c>
      <c r="AM26" s="94" t="s">
        <v>1104</v>
      </c>
      <c r="AN26" s="44"/>
      <c r="AO26" s="44"/>
      <c r="AP26" s="44"/>
      <c r="AQ26" s="45"/>
      <c r="AR26" s="45"/>
    </row>
    <row r="27" spans="1:44" ht="60">
      <c r="A27" s="294"/>
      <c r="B27" s="189" t="s">
        <v>1099</v>
      </c>
      <c r="C27" s="190">
        <v>46873</v>
      </c>
      <c r="D27" s="191">
        <v>2028</v>
      </c>
      <c r="E27" s="192">
        <v>355.09</v>
      </c>
      <c r="F27" s="192">
        <v>349.47</v>
      </c>
      <c r="G27" s="192"/>
      <c r="H27" s="193">
        <v>5.62</v>
      </c>
      <c r="I27" s="170">
        <v>24</v>
      </c>
      <c r="J27" s="160">
        <f ca="1">EOMONTH($M$4,I27)</f>
        <v>46873</v>
      </c>
      <c r="K27" s="164">
        <f t="shared" ca="1" si="0"/>
        <v>2028</v>
      </c>
      <c r="L27" s="165">
        <f ca="1">ROUND(M27+O27,2)</f>
        <v>355.09</v>
      </c>
      <c r="M27" s="165">
        <f ca="1">ROUND(P26-ROUND($M$5*$M$7,2),2)</f>
        <v>349.47</v>
      </c>
      <c r="N27" s="165">
        <f>0</f>
        <v>0</v>
      </c>
      <c r="O27" s="171">
        <f ca="1">ROUND(P26*($M$8/$M$10),2)</f>
        <v>5.62</v>
      </c>
      <c r="P27" s="142">
        <v>24</v>
      </c>
      <c r="Q27" s="62">
        <v>46873</v>
      </c>
      <c r="R27" s="63">
        <v>2028</v>
      </c>
      <c r="S27" s="63">
        <v>355.09</v>
      </c>
      <c r="T27" s="63">
        <v>349.47</v>
      </c>
      <c r="U27" s="63"/>
      <c r="V27" s="63">
        <v>5.62</v>
      </c>
      <c r="W27" s="64" t="s">
        <v>1104</v>
      </c>
      <c r="X27" s="90">
        <v>24</v>
      </c>
      <c r="Y27" s="91">
        <v>46873</v>
      </c>
      <c r="Z27" s="92">
        <v>2028</v>
      </c>
      <c r="AA27" s="92">
        <v>355.09</v>
      </c>
      <c r="AB27" s="92">
        <v>349.47</v>
      </c>
      <c r="AC27" s="92"/>
      <c r="AD27" s="92">
        <v>5.62</v>
      </c>
      <c r="AE27" s="93" t="s">
        <v>1104</v>
      </c>
      <c r="AF27" s="61">
        <v>24</v>
      </c>
      <c r="AG27" s="62">
        <v>46873</v>
      </c>
      <c r="AH27" s="63">
        <v>2028</v>
      </c>
      <c r="AI27" s="63">
        <v>355.09</v>
      </c>
      <c r="AJ27" s="63">
        <v>349.47</v>
      </c>
      <c r="AK27" s="63"/>
      <c r="AL27" s="63">
        <v>5.62</v>
      </c>
      <c r="AM27" s="94" t="s">
        <v>1104</v>
      </c>
      <c r="AN27" s="44"/>
      <c r="AO27" s="44"/>
      <c r="AP27" s="44"/>
      <c r="AQ27" s="45"/>
      <c r="AR27" s="45"/>
    </row>
    <row r="28" spans="1:44" ht="75.75" thickBot="1">
      <c r="A28" s="295"/>
      <c r="B28" s="194" t="s">
        <v>1100</v>
      </c>
      <c r="C28" s="195">
        <v>46873</v>
      </c>
      <c r="D28" s="196">
        <v>2028</v>
      </c>
      <c r="E28" s="197">
        <v>1000</v>
      </c>
      <c r="F28" s="197">
        <v>0</v>
      </c>
      <c r="G28" s="197">
        <v>1000</v>
      </c>
      <c r="H28" s="198">
        <v>0</v>
      </c>
      <c r="I28" s="150" t="s">
        <v>1074</v>
      </c>
      <c r="J28" s="172">
        <f ca="1">EOMONTH($M$4,I27)</f>
        <v>46873</v>
      </c>
      <c r="K28" s="173">
        <f t="shared" ca="1" si="0"/>
        <v>2028</v>
      </c>
      <c r="L28" s="174">
        <v>1000</v>
      </c>
      <c r="M28" s="174">
        <f>0</f>
        <v>0</v>
      </c>
      <c r="N28" s="174">
        <f ca="1">ROUND($M$5*$M$7,2)</f>
        <v>1000</v>
      </c>
      <c r="O28" s="175">
        <f>0</f>
        <v>0</v>
      </c>
      <c r="P28" s="143" t="s">
        <v>1100</v>
      </c>
      <c r="Q28" s="66">
        <v>46873</v>
      </c>
      <c r="R28" s="67">
        <v>2028</v>
      </c>
      <c r="S28" s="67">
        <v>1000</v>
      </c>
      <c r="T28" s="67">
        <v>0</v>
      </c>
      <c r="U28" s="67">
        <v>1000</v>
      </c>
      <c r="V28" s="67">
        <v>0</v>
      </c>
      <c r="W28" s="68" t="s">
        <v>1105</v>
      </c>
      <c r="X28" s="103" t="s">
        <v>1100</v>
      </c>
      <c r="Y28" s="105">
        <v>46873</v>
      </c>
      <c r="Z28" s="104">
        <v>2028</v>
      </c>
      <c r="AA28" s="104">
        <v>1000</v>
      </c>
      <c r="AB28" s="104">
        <v>0</v>
      </c>
      <c r="AC28" s="104">
        <v>1000</v>
      </c>
      <c r="AD28" s="104">
        <v>0</v>
      </c>
      <c r="AE28" s="106" t="s">
        <v>1105</v>
      </c>
      <c r="AF28" s="65" t="s">
        <v>1100</v>
      </c>
      <c r="AG28" s="66">
        <v>46873</v>
      </c>
      <c r="AH28" s="67">
        <v>2028</v>
      </c>
      <c r="AI28" s="67">
        <v>1000</v>
      </c>
      <c r="AJ28" s="67">
        <v>0</v>
      </c>
      <c r="AK28" s="67">
        <v>1000</v>
      </c>
      <c r="AL28" s="67">
        <v>0</v>
      </c>
      <c r="AM28" s="107" t="s">
        <v>1105</v>
      </c>
      <c r="AN28" s="44"/>
      <c r="AO28" s="44"/>
      <c r="AP28" s="44"/>
      <c r="AQ28" s="45"/>
      <c r="AR28" s="45"/>
    </row>
    <row r="29" spans="1:44" ht="79.5" thickBot="1">
      <c r="A29" s="296" t="s">
        <v>1110</v>
      </c>
      <c r="B29" s="199" t="s">
        <v>990</v>
      </c>
      <c r="C29" s="200">
        <v>46127</v>
      </c>
      <c r="D29" s="201">
        <v>2026</v>
      </c>
      <c r="E29" s="202">
        <v>2000</v>
      </c>
      <c r="F29" s="202">
        <v>2000</v>
      </c>
      <c r="G29" s="202"/>
      <c r="H29" s="203">
        <v>0</v>
      </c>
      <c r="I29" s="152" t="s">
        <v>990</v>
      </c>
      <c r="J29" s="176">
        <v>46127</v>
      </c>
      <c r="K29" s="178">
        <v>2026</v>
      </c>
      <c r="L29" s="153">
        <v>2000</v>
      </c>
      <c r="M29" s="153">
        <v>2000</v>
      </c>
      <c r="N29" s="153">
        <v>0</v>
      </c>
      <c r="O29" s="154">
        <v>0</v>
      </c>
      <c r="P29" s="144" t="s">
        <v>990</v>
      </c>
      <c r="Q29" s="70">
        <v>46127</v>
      </c>
      <c r="R29" s="71">
        <v>2026</v>
      </c>
      <c r="S29" s="71">
        <v>2000</v>
      </c>
      <c r="T29" s="71">
        <v>2000</v>
      </c>
      <c r="U29" s="59"/>
      <c r="V29" s="71">
        <v>0</v>
      </c>
      <c r="W29" s="72" t="s">
        <v>1103</v>
      </c>
      <c r="X29" s="108" t="s">
        <v>990</v>
      </c>
      <c r="Y29" s="110">
        <v>46127</v>
      </c>
      <c r="Z29" s="117">
        <v>2026</v>
      </c>
      <c r="AA29" s="117">
        <v>2000</v>
      </c>
      <c r="AB29" s="117">
        <v>2000</v>
      </c>
      <c r="AC29" s="115"/>
      <c r="AD29" s="112">
        <v>0</v>
      </c>
      <c r="AE29" s="113" t="s">
        <v>1103</v>
      </c>
      <c r="AF29" s="69" t="s">
        <v>990</v>
      </c>
      <c r="AG29" s="70">
        <v>46127</v>
      </c>
      <c r="AH29" s="71">
        <v>2026</v>
      </c>
      <c r="AI29" s="239">
        <v>2000</v>
      </c>
      <c r="AJ29" s="239">
        <v>2000</v>
      </c>
      <c r="AK29" s="59"/>
      <c r="AL29" s="71">
        <v>0</v>
      </c>
      <c r="AM29" s="72" t="s">
        <v>1103</v>
      </c>
      <c r="AN29" s="45"/>
      <c r="AO29" s="45"/>
      <c r="AP29" s="45"/>
      <c r="AQ29" s="45"/>
      <c r="AR29" s="45"/>
    </row>
    <row r="30" spans="1:44" ht="63.75" thickBot="1">
      <c r="A30" s="297"/>
      <c r="B30" s="189" t="s">
        <v>1076</v>
      </c>
      <c r="C30" s="190">
        <v>46173</v>
      </c>
      <c r="D30" s="191">
        <v>2026</v>
      </c>
      <c r="E30" s="192">
        <v>583.33000000000004</v>
      </c>
      <c r="F30" s="192">
        <v>583.33000000000004</v>
      </c>
      <c r="G30" s="192"/>
      <c r="H30" s="193">
        <v>0</v>
      </c>
      <c r="I30" s="170">
        <v>1</v>
      </c>
      <c r="J30" s="177">
        <v>46173</v>
      </c>
      <c r="K30" s="164">
        <v>2026</v>
      </c>
      <c r="L30" s="148">
        <v>583.33000000000004</v>
      </c>
      <c r="M30" s="148">
        <v>583.33000000000004</v>
      </c>
      <c r="N30" s="148">
        <v>0</v>
      </c>
      <c r="O30" s="149">
        <v>0</v>
      </c>
      <c r="P30" s="145">
        <v>1</v>
      </c>
      <c r="Q30" s="74">
        <v>46173</v>
      </c>
      <c r="R30" s="75">
        <v>2026</v>
      </c>
      <c r="S30" s="75">
        <v>583.33000000000004</v>
      </c>
      <c r="T30" s="75">
        <v>583.33000000000004</v>
      </c>
      <c r="U30" s="63"/>
      <c r="V30" s="75">
        <v>0</v>
      </c>
      <c r="W30" s="76" t="s">
        <v>1104</v>
      </c>
      <c r="X30" s="109">
        <v>1</v>
      </c>
      <c r="Y30" s="111">
        <v>46173</v>
      </c>
      <c r="Z30" s="118">
        <v>2026</v>
      </c>
      <c r="AA30" s="118">
        <v>583.33000000000004</v>
      </c>
      <c r="AB30" s="118">
        <v>583.33000000000004</v>
      </c>
      <c r="AC30" s="116"/>
      <c r="AD30" s="114">
        <v>0</v>
      </c>
      <c r="AE30" s="113" t="s">
        <v>1104</v>
      </c>
      <c r="AF30" s="73">
        <v>1</v>
      </c>
      <c r="AG30" s="74">
        <v>46173</v>
      </c>
      <c r="AH30" s="75">
        <v>2026</v>
      </c>
      <c r="AI30" s="75">
        <v>583.33000000000004</v>
      </c>
      <c r="AJ30" s="75">
        <v>583.33000000000004</v>
      </c>
      <c r="AK30" s="63"/>
      <c r="AL30" s="75">
        <v>0</v>
      </c>
      <c r="AM30" s="76" t="s">
        <v>1104</v>
      </c>
      <c r="AN30" s="45"/>
      <c r="AO30" s="45"/>
      <c r="AP30" s="45"/>
      <c r="AQ30" s="45"/>
      <c r="AR30" s="45"/>
    </row>
    <row r="31" spans="1:44" ht="63.75" thickBot="1">
      <c r="A31" s="297"/>
      <c r="B31" s="189" t="s">
        <v>1077</v>
      </c>
      <c r="C31" s="190">
        <v>46203</v>
      </c>
      <c r="D31" s="191">
        <v>2026</v>
      </c>
      <c r="E31" s="192">
        <v>583.33000000000004</v>
      </c>
      <c r="F31" s="192">
        <v>583.33000000000004</v>
      </c>
      <c r="G31" s="192"/>
      <c r="H31" s="193">
        <v>0</v>
      </c>
      <c r="I31" s="170">
        <v>2</v>
      </c>
      <c r="J31" s="177">
        <v>46203</v>
      </c>
      <c r="K31" s="164">
        <v>2026</v>
      </c>
      <c r="L31" s="148">
        <v>583.33000000000004</v>
      </c>
      <c r="M31" s="148">
        <v>583.33000000000004</v>
      </c>
      <c r="N31" s="148">
        <v>0</v>
      </c>
      <c r="O31" s="149">
        <v>0</v>
      </c>
      <c r="P31" s="145">
        <v>2</v>
      </c>
      <c r="Q31" s="74">
        <v>46203</v>
      </c>
      <c r="R31" s="75">
        <v>2026</v>
      </c>
      <c r="S31" s="75">
        <v>583.33000000000004</v>
      </c>
      <c r="T31" s="75">
        <v>583.33000000000004</v>
      </c>
      <c r="U31" s="63"/>
      <c r="V31" s="75">
        <v>0</v>
      </c>
      <c r="W31" s="76" t="s">
        <v>1104</v>
      </c>
      <c r="X31" s="109">
        <v>2</v>
      </c>
      <c r="Y31" s="111">
        <v>46203</v>
      </c>
      <c r="Z31" s="118">
        <v>2026</v>
      </c>
      <c r="AA31" s="118">
        <v>583.33000000000004</v>
      </c>
      <c r="AB31" s="118">
        <v>583.33000000000004</v>
      </c>
      <c r="AC31" s="116"/>
      <c r="AD31" s="114">
        <v>0</v>
      </c>
      <c r="AE31" s="113" t="s">
        <v>1104</v>
      </c>
      <c r="AF31" s="73">
        <v>2</v>
      </c>
      <c r="AG31" s="74">
        <v>46203</v>
      </c>
      <c r="AH31" s="75">
        <v>2026</v>
      </c>
      <c r="AI31" s="75">
        <v>583.33000000000004</v>
      </c>
      <c r="AJ31" s="75">
        <v>583.33000000000004</v>
      </c>
      <c r="AK31" s="63"/>
      <c r="AL31" s="75">
        <v>0</v>
      </c>
      <c r="AM31" s="76" t="s">
        <v>1104</v>
      </c>
      <c r="AN31" s="45"/>
      <c r="AO31" s="45"/>
      <c r="AP31" s="45"/>
      <c r="AQ31" s="45"/>
      <c r="AR31" s="45"/>
    </row>
    <row r="32" spans="1:44" ht="63.75" thickBot="1">
      <c r="A32" s="297"/>
      <c r="B32" s="189" t="s">
        <v>1078</v>
      </c>
      <c r="C32" s="190">
        <v>46234</v>
      </c>
      <c r="D32" s="191">
        <v>2026</v>
      </c>
      <c r="E32" s="192">
        <v>583.33000000000004</v>
      </c>
      <c r="F32" s="192">
        <v>583.33000000000004</v>
      </c>
      <c r="G32" s="192"/>
      <c r="H32" s="193">
        <v>0</v>
      </c>
      <c r="I32" s="170">
        <v>3</v>
      </c>
      <c r="J32" s="177">
        <v>46234</v>
      </c>
      <c r="K32" s="164">
        <v>2026</v>
      </c>
      <c r="L32" s="148">
        <v>583.33000000000004</v>
      </c>
      <c r="M32" s="148">
        <v>583.33000000000004</v>
      </c>
      <c r="N32" s="148">
        <v>0</v>
      </c>
      <c r="O32" s="149">
        <v>0</v>
      </c>
      <c r="P32" s="145">
        <v>3</v>
      </c>
      <c r="Q32" s="74">
        <v>46234</v>
      </c>
      <c r="R32" s="75">
        <v>2026</v>
      </c>
      <c r="S32" s="75">
        <v>583.33000000000004</v>
      </c>
      <c r="T32" s="75">
        <v>583.33000000000004</v>
      </c>
      <c r="U32" s="63"/>
      <c r="V32" s="75">
        <v>0</v>
      </c>
      <c r="W32" s="76" t="s">
        <v>1104</v>
      </c>
      <c r="X32" s="109">
        <v>3</v>
      </c>
      <c r="Y32" s="111">
        <v>46234</v>
      </c>
      <c r="Z32" s="118">
        <v>2026</v>
      </c>
      <c r="AA32" s="118">
        <v>583.33000000000004</v>
      </c>
      <c r="AB32" s="118">
        <v>583.33000000000004</v>
      </c>
      <c r="AC32" s="116"/>
      <c r="AD32" s="114">
        <v>0</v>
      </c>
      <c r="AE32" s="113" t="s">
        <v>1104</v>
      </c>
      <c r="AF32" s="73">
        <v>3</v>
      </c>
      <c r="AG32" s="74">
        <v>46234</v>
      </c>
      <c r="AH32" s="75">
        <v>2026</v>
      </c>
      <c r="AI32" s="75">
        <v>583.33000000000004</v>
      </c>
      <c r="AJ32" s="75">
        <v>583.33000000000004</v>
      </c>
      <c r="AK32" s="63"/>
      <c r="AL32" s="75">
        <v>0</v>
      </c>
      <c r="AM32" s="76" t="s">
        <v>1104</v>
      </c>
      <c r="AN32" s="45"/>
      <c r="AO32" s="45"/>
      <c r="AP32" s="45"/>
      <c r="AQ32" s="45"/>
      <c r="AR32" s="45"/>
    </row>
    <row r="33" spans="1:44" ht="63.75" thickBot="1">
      <c r="A33" s="297"/>
      <c r="B33" s="189" t="s">
        <v>1079</v>
      </c>
      <c r="C33" s="190">
        <v>46265</v>
      </c>
      <c r="D33" s="191">
        <v>2026</v>
      </c>
      <c r="E33" s="192">
        <v>583.33000000000004</v>
      </c>
      <c r="F33" s="192">
        <v>583.33000000000004</v>
      </c>
      <c r="G33" s="192"/>
      <c r="H33" s="193">
        <v>0</v>
      </c>
      <c r="I33" s="170">
        <v>4</v>
      </c>
      <c r="J33" s="177">
        <v>46265</v>
      </c>
      <c r="K33" s="164">
        <v>2026</v>
      </c>
      <c r="L33" s="148">
        <v>583.33000000000004</v>
      </c>
      <c r="M33" s="148">
        <v>583.33000000000004</v>
      </c>
      <c r="N33" s="148">
        <v>0</v>
      </c>
      <c r="O33" s="149">
        <v>0</v>
      </c>
      <c r="P33" s="145">
        <v>4</v>
      </c>
      <c r="Q33" s="74">
        <v>46265</v>
      </c>
      <c r="R33" s="75">
        <v>2026</v>
      </c>
      <c r="S33" s="75">
        <v>583.33000000000004</v>
      </c>
      <c r="T33" s="75">
        <v>583.33000000000004</v>
      </c>
      <c r="U33" s="63"/>
      <c r="V33" s="75">
        <v>0</v>
      </c>
      <c r="W33" s="76" t="s">
        <v>1104</v>
      </c>
      <c r="X33" s="109">
        <v>4</v>
      </c>
      <c r="Y33" s="111">
        <v>46265</v>
      </c>
      <c r="Z33" s="118">
        <v>2026</v>
      </c>
      <c r="AA33" s="118">
        <v>583.33000000000004</v>
      </c>
      <c r="AB33" s="118">
        <v>583.33000000000004</v>
      </c>
      <c r="AC33" s="116"/>
      <c r="AD33" s="114">
        <v>0</v>
      </c>
      <c r="AE33" s="113" t="s">
        <v>1104</v>
      </c>
      <c r="AF33" s="73">
        <v>4</v>
      </c>
      <c r="AG33" s="74">
        <v>46265</v>
      </c>
      <c r="AH33" s="75">
        <v>2026</v>
      </c>
      <c r="AI33" s="75">
        <v>583.33000000000004</v>
      </c>
      <c r="AJ33" s="75">
        <v>583.33000000000004</v>
      </c>
      <c r="AK33" s="63"/>
      <c r="AL33" s="75">
        <v>0</v>
      </c>
      <c r="AM33" s="76" t="s">
        <v>1104</v>
      </c>
      <c r="AN33" s="45"/>
      <c r="AO33" s="45"/>
      <c r="AP33" s="45"/>
      <c r="AQ33" s="45"/>
      <c r="AR33" s="45"/>
    </row>
    <row r="34" spans="1:44" ht="63.75" thickBot="1">
      <c r="A34" s="297"/>
      <c r="B34" s="189" t="s">
        <v>1080</v>
      </c>
      <c r="C34" s="190">
        <v>46295</v>
      </c>
      <c r="D34" s="191">
        <v>2026</v>
      </c>
      <c r="E34" s="192">
        <v>583.33000000000004</v>
      </c>
      <c r="F34" s="192">
        <v>583.33000000000004</v>
      </c>
      <c r="G34" s="192"/>
      <c r="H34" s="193">
        <v>0</v>
      </c>
      <c r="I34" s="170">
        <v>5</v>
      </c>
      <c r="J34" s="177">
        <v>46295</v>
      </c>
      <c r="K34" s="164">
        <v>2026</v>
      </c>
      <c r="L34" s="148">
        <v>583.33000000000004</v>
      </c>
      <c r="M34" s="148">
        <v>583.33000000000004</v>
      </c>
      <c r="N34" s="148">
        <v>0</v>
      </c>
      <c r="O34" s="149">
        <v>0</v>
      </c>
      <c r="P34" s="145">
        <v>5</v>
      </c>
      <c r="Q34" s="74">
        <v>46295</v>
      </c>
      <c r="R34" s="75">
        <v>2026</v>
      </c>
      <c r="S34" s="75">
        <v>583.33000000000004</v>
      </c>
      <c r="T34" s="75">
        <v>583.33000000000004</v>
      </c>
      <c r="U34" s="63"/>
      <c r="V34" s="75">
        <v>0</v>
      </c>
      <c r="W34" s="76" t="s">
        <v>1104</v>
      </c>
      <c r="X34" s="109">
        <v>5</v>
      </c>
      <c r="Y34" s="111">
        <v>46295</v>
      </c>
      <c r="Z34" s="118">
        <v>2026</v>
      </c>
      <c r="AA34" s="118">
        <v>583.33000000000004</v>
      </c>
      <c r="AB34" s="118">
        <v>583.33000000000004</v>
      </c>
      <c r="AC34" s="116"/>
      <c r="AD34" s="114">
        <v>0</v>
      </c>
      <c r="AE34" s="113" t="s">
        <v>1104</v>
      </c>
      <c r="AF34" s="73">
        <v>5</v>
      </c>
      <c r="AG34" s="74">
        <v>46295</v>
      </c>
      <c r="AH34" s="75">
        <v>2026</v>
      </c>
      <c r="AI34" s="75">
        <v>583.33000000000004</v>
      </c>
      <c r="AJ34" s="75">
        <v>583.33000000000004</v>
      </c>
      <c r="AK34" s="63"/>
      <c r="AL34" s="75">
        <v>0</v>
      </c>
      <c r="AM34" s="76" t="s">
        <v>1104</v>
      </c>
      <c r="AN34" s="45"/>
      <c r="AO34" s="45"/>
      <c r="AP34" s="45"/>
      <c r="AQ34" s="45"/>
      <c r="AR34" s="45"/>
    </row>
    <row r="35" spans="1:44" ht="63.75" thickBot="1">
      <c r="A35" s="297"/>
      <c r="B35" s="189" t="s">
        <v>1081</v>
      </c>
      <c r="C35" s="190">
        <v>46326</v>
      </c>
      <c r="D35" s="191">
        <v>2026</v>
      </c>
      <c r="E35" s="192">
        <v>583.33000000000004</v>
      </c>
      <c r="F35" s="192">
        <v>583.33000000000004</v>
      </c>
      <c r="G35" s="192"/>
      <c r="H35" s="193">
        <v>0</v>
      </c>
      <c r="I35" s="170">
        <v>6</v>
      </c>
      <c r="J35" s="177">
        <v>46326</v>
      </c>
      <c r="K35" s="164">
        <v>2026</v>
      </c>
      <c r="L35" s="148">
        <v>583.33000000000004</v>
      </c>
      <c r="M35" s="148">
        <v>583.33000000000004</v>
      </c>
      <c r="N35" s="148">
        <v>0</v>
      </c>
      <c r="O35" s="149">
        <v>0</v>
      </c>
      <c r="P35" s="145">
        <v>6</v>
      </c>
      <c r="Q35" s="74">
        <v>46326</v>
      </c>
      <c r="R35" s="75">
        <v>2026</v>
      </c>
      <c r="S35" s="75">
        <v>583.33000000000004</v>
      </c>
      <c r="T35" s="75">
        <v>583.33000000000004</v>
      </c>
      <c r="U35" s="63"/>
      <c r="V35" s="75">
        <v>0</v>
      </c>
      <c r="W35" s="76" t="s">
        <v>1104</v>
      </c>
      <c r="X35" s="109">
        <v>6</v>
      </c>
      <c r="Y35" s="111">
        <v>46326</v>
      </c>
      <c r="Z35" s="118">
        <v>2026</v>
      </c>
      <c r="AA35" s="118">
        <v>583.33000000000004</v>
      </c>
      <c r="AB35" s="118">
        <v>583.33000000000004</v>
      </c>
      <c r="AC35" s="116"/>
      <c r="AD35" s="114">
        <v>0</v>
      </c>
      <c r="AE35" s="113" t="s">
        <v>1104</v>
      </c>
      <c r="AF35" s="73">
        <v>6</v>
      </c>
      <c r="AG35" s="74">
        <v>46326</v>
      </c>
      <c r="AH35" s="75">
        <v>2026</v>
      </c>
      <c r="AI35" s="75">
        <v>583.33000000000004</v>
      </c>
      <c r="AJ35" s="75">
        <v>583.33000000000004</v>
      </c>
      <c r="AK35" s="63"/>
      <c r="AL35" s="75">
        <v>0</v>
      </c>
      <c r="AM35" s="76" t="s">
        <v>1104</v>
      </c>
      <c r="AN35" s="45"/>
      <c r="AO35" s="45"/>
      <c r="AP35" s="45"/>
      <c r="AQ35" s="45"/>
      <c r="AR35" s="45"/>
    </row>
    <row r="36" spans="1:44" ht="63.75" thickBot="1">
      <c r="A36" s="297"/>
      <c r="B36" s="189" t="s">
        <v>1082</v>
      </c>
      <c r="C36" s="190">
        <v>46356</v>
      </c>
      <c r="D36" s="191">
        <v>2026</v>
      </c>
      <c r="E36" s="192">
        <v>583.33000000000004</v>
      </c>
      <c r="F36" s="192">
        <v>583.33000000000004</v>
      </c>
      <c r="G36" s="192"/>
      <c r="H36" s="193">
        <v>0</v>
      </c>
      <c r="I36" s="170">
        <v>7</v>
      </c>
      <c r="J36" s="177">
        <v>46356</v>
      </c>
      <c r="K36" s="164">
        <v>2026</v>
      </c>
      <c r="L36" s="148">
        <v>583.33000000000004</v>
      </c>
      <c r="M36" s="148">
        <v>583.33000000000004</v>
      </c>
      <c r="N36" s="148">
        <v>0</v>
      </c>
      <c r="O36" s="149">
        <v>0</v>
      </c>
      <c r="P36" s="145">
        <v>7</v>
      </c>
      <c r="Q36" s="74">
        <v>46356</v>
      </c>
      <c r="R36" s="75">
        <v>2026</v>
      </c>
      <c r="S36" s="75">
        <v>583.33000000000004</v>
      </c>
      <c r="T36" s="75">
        <v>583.33000000000004</v>
      </c>
      <c r="U36" s="63"/>
      <c r="V36" s="75">
        <v>0</v>
      </c>
      <c r="W36" s="76" t="s">
        <v>1104</v>
      </c>
      <c r="X36" s="109">
        <v>7</v>
      </c>
      <c r="Y36" s="111">
        <v>46356</v>
      </c>
      <c r="Z36" s="118">
        <v>2026</v>
      </c>
      <c r="AA36" s="118">
        <v>583.33000000000004</v>
      </c>
      <c r="AB36" s="118">
        <v>583.33000000000004</v>
      </c>
      <c r="AC36" s="116"/>
      <c r="AD36" s="114">
        <v>0</v>
      </c>
      <c r="AE36" s="113" t="s">
        <v>1104</v>
      </c>
      <c r="AF36" s="73">
        <v>7</v>
      </c>
      <c r="AG36" s="74">
        <v>46356</v>
      </c>
      <c r="AH36" s="75">
        <v>2026</v>
      </c>
      <c r="AI36" s="75">
        <v>583.33000000000004</v>
      </c>
      <c r="AJ36" s="75">
        <v>583.33000000000004</v>
      </c>
      <c r="AK36" s="63"/>
      <c r="AL36" s="75">
        <v>0</v>
      </c>
      <c r="AM36" s="76" t="s">
        <v>1104</v>
      </c>
      <c r="AN36" s="45"/>
      <c r="AO36" s="45"/>
      <c r="AP36" s="45"/>
      <c r="AQ36" s="45"/>
      <c r="AR36" s="45"/>
    </row>
    <row r="37" spans="1:44" ht="63.75" thickBot="1">
      <c r="A37" s="297"/>
      <c r="B37" s="189" t="s">
        <v>1083</v>
      </c>
      <c r="C37" s="190">
        <v>46387</v>
      </c>
      <c r="D37" s="191">
        <v>2026</v>
      </c>
      <c r="E37" s="192">
        <v>583.33000000000004</v>
      </c>
      <c r="F37" s="192">
        <v>583.33000000000004</v>
      </c>
      <c r="G37" s="192"/>
      <c r="H37" s="193">
        <v>0</v>
      </c>
      <c r="I37" s="170">
        <v>8</v>
      </c>
      <c r="J37" s="177">
        <v>46387</v>
      </c>
      <c r="K37" s="164">
        <v>2026</v>
      </c>
      <c r="L37" s="148">
        <v>583.33000000000004</v>
      </c>
      <c r="M37" s="148">
        <v>583.33000000000004</v>
      </c>
      <c r="N37" s="148">
        <v>0</v>
      </c>
      <c r="O37" s="149">
        <v>0</v>
      </c>
      <c r="P37" s="145">
        <v>8</v>
      </c>
      <c r="Q37" s="74">
        <v>46387</v>
      </c>
      <c r="R37" s="75">
        <v>2026</v>
      </c>
      <c r="S37" s="75">
        <v>583.33000000000004</v>
      </c>
      <c r="T37" s="75">
        <v>583.33000000000004</v>
      </c>
      <c r="U37" s="63"/>
      <c r="V37" s="75">
        <v>0</v>
      </c>
      <c r="W37" s="76" t="s">
        <v>1104</v>
      </c>
      <c r="X37" s="109">
        <v>8</v>
      </c>
      <c r="Y37" s="111">
        <v>46387</v>
      </c>
      <c r="Z37" s="118">
        <v>2026</v>
      </c>
      <c r="AA37" s="118">
        <v>583.33000000000004</v>
      </c>
      <c r="AB37" s="118">
        <v>583.33000000000004</v>
      </c>
      <c r="AC37" s="116"/>
      <c r="AD37" s="114">
        <v>0</v>
      </c>
      <c r="AE37" s="113" t="s">
        <v>1104</v>
      </c>
      <c r="AF37" s="73">
        <v>8</v>
      </c>
      <c r="AG37" s="74">
        <v>46387</v>
      </c>
      <c r="AH37" s="75">
        <v>2026</v>
      </c>
      <c r="AI37" s="75">
        <v>583.33000000000004</v>
      </c>
      <c r="AJ37" s="75">
        <v>583.33000000000004</v>
      </c>
      <c r="AK37" s="63"/>
      <c r="AL37" s="75">
        <v>0</v>
      </c>
      <c r="AM37" s="76" t="s">
        <v>1104</v>
      </c>
      <c r="AN37" s="45"/>
      <c r="AO37" s="45"/>
      <c r="AP37" s="45"/>
      <c r="AQ37" s="45"/>
      <c r="AR37" s="45"/>
    </row>
    <row r="38" spans="1:44" ht="63.75" thickBot="1">
      <c r="A38" s="297"/>
      <c r="B38" s="189" t="s">
        <v>1084</v>
      </c>
      <c r="C38" s="190">
        <v>46418</v>
      </c>
      <c r="D38" s="191">
        <v>2027</v>
      </c>
      <c r="E38" s="192">
        <v>583.33000000000004</v>
      </c>
      <c r="F38" s="192">
        <v>583.33000000000004</v>
      </c>
      <c r="G38" s="192"/>
      <c r="H38" s="193">
        <v>0</v>
      </c>
      <c r="I38" s="170">
        <v>9</v>
      </c>
      <c r="J38" s="177">
        <v>46418</v>
      </c>
      <c r="K38" s="164">
        <v>2027</v>
      </c>
      <c r="L38" s="148">
        <v>583.33000000000004</v>
      </c>
      <c r="M38" s="148">
        <v>583.33000000000004</v>
      </c>
      <c r="N38" s="148">
        <v>0</v>
      </c>
      <c r="O38" s="149">
        <v>0</v>
      </c>
      <c r="P38" s="145">
        <v>9</v>
      </c>
      <c r="Q38" s="74">
        <v>46418</v>
      </c>
      <c r="R38" s="75">
        <v>2027</v>
      </c>
      <c r="S38" s="75">
        <v>583.33000000000004</v>
      </c>
      <c r="T38" s="75">
        <v>583.33000000000004</v>
      </c>
      <c r="U38" s="63"/>
      <c r="V38" s="75">
        <v>0</v>
      </c>
      <c r="W38" s="76" t="s">
        <v>1104</v>
      </c>
      <c r="X38" s="109">
        <v>9</v>
      </c>
      <c r="Y38" s="111">
        <v>46418</v>
      </c>
      <c r="Z38" s="118">
        <v>2027</v>
      </c>
      <c r="AA38" s="118">
        <v>583.33000000000004</v>
      </c>
      <c r="AB38" s="118">
        <v>583.33000000000004</v>
      </c>
      <c r="AC38" s="116"/>
      <c r="AD38" s="114">
        <v>0</v>
      </c>
      <c r="AE38" s="113" t="s">
        <v>1104</v>
      </c>
      <c r="AF38" s="73">
        <v>9</v>
      </c>
      <c r="AG38" s="74">
        <v>46418</v>
      </c>
      <c r="AH38" s="75">
        <v>2027</v>
      </c>
      <c r="AI38" s="75">
        <v>583.33000000000004</v>
      </c>
      <c r="AJ38" s="75">
        <v>583.33000000000004</v>
      </c>
      <c r="AK38" s="63"/>
      <c r="AL38" s="75">
        <v>0</v>
      </c>
      <c r="AM38" s="76" t="s">
        <v>1104</v>
      </c>
      <c r="AN38" s="45"/>
      <c r="AO38" s="45"/>
      <c r="AP38" s="45"/>
      <c r="AQ38" s="45"/>
      <c r="AR38" s="45"/>
    </row>
    <row r="39" spans="1:44" ht="63.75" thickBot="1">
      <c r="A39" s="297"/>
      <c r="B39" s="189" t="s">
        <v>1085</v>
      </c>
      <c r="C39" s="190">
        <v>46446</v>
      </c>
      <c r="D39" s="191">
        <v>2027</v>
      </c>
      <c r="E39" s="192">
        <v>583.33000000000004</v>
      </c>
      <c r="F39" s="192">
        <v>583.33000000000004</v>
      </c>
      <c r="G39" s="192"/>
      <c r="H39" s="193">
        <v>0</v>
      </c>
      <c r="I39" s="170">
        <v>10</v>
      </c>
      <c r="J39" s="177">
        <v>46446</v>
      </c>
      <c r="K39" s="164">
        <v>2027</v>
      </c>
      <c r="L39" s="148">
        <v>583.33000000000004</v>
      </c>
      <c r="M39" s="148">
        <v>583.33000000000004</v>
      </c>
      <c r="N39" s="148">
        <v>0</v>
      </c>
      <c r="O39" s="149">
        <v>0</v>
      </c>
      <c r="P39" s="145">
        <v>10</v>
      </c>
      <c r="Q39" s="74">
        <v>46446</v>
      </c>
      <c r="R39" s="75">
        <v>2027</v>
      </c>
      <c r="S39" s="75">
        <v>583.33000000000004</v>
      </c>
      <c r="T39" s="75">
        <v>583.33000000000004</v>
      </c>
      <c r="U39" s="63"/>
      <c r="V39" s="75">
        <v>0</v>
      </c>
      <c r="W39" s="76" t="s">
        <v>1104</v>
      </c>
      <c r="X39" s="109">
        <v>10</v>
      </c>
      <c r="Y39" s="111">
        <v>46446</v>
      </c>
      <c r="Z39" s="118">
        <v>2027</v>
      </c>
      <c r="AA39" s="118">
        <v>583.33000000000004</v>
      </c>
      <c r="AB39" s="118">
        <v>583.33000000000004</v>
      </c>
      <c r="AC39" s="116"/>
      <c r="AD39" s="114">
        <v>0</v>
      </c>
      <c r="AE39" s="113" t="s">
        <v>1104</v>
      </c>
      <c r="AF39" s="73">
        <v>10</v>
      </c>
      <c r="AG39" s="74">
        <v>46446</v>
      </c>
      <c r="AH39" s="75">
        <v>2027</v>
      </c>
      <c r="AI39" s="75">
        <v>583.33000000000004</v>
      </c>
      <c r="AJ39" s="75">
        <v>583.33000000000004</v>
      </c>
      <c r="AK39" s="63"/>
      <c r="AL39" s="75">
        <v>0</v>
      </c>
      <c r="AM39" s="76" t="s">
        <v>1104</v>
      </c>
      <c r="AN39" s="45"/>
      <c r="AO39" s="45"/>
      <c r="AP39" s="45"/>
      <c r="AQ39" s="45"/>
      <c r="AR39" s="45"/>
    </row>
    <row r="40" spans="1:44" ht="63.75" thickBot="1">
      <c r="A40" s="297"/>
      <c r="B40" s="189" t="s">
        <v>1086</v>
      </c>
      <c r="C40" s="190">
        <v>46477</v>
      </c>
      <c r="D40" s="191">
        <v>2027</v>
      </c>
      <c r="E40" s="192">
        <v>583.33000000000004</v>
      </c>
      <c r="F40" s="192">
        <v>583.33000000000004</v>
      </c>
      <c r="G40" s="192"/>
      <c r="H40" s="193">
        <v>0</v>
      </c>
      <c r="I40" s="170">
        <v>11</v>
      </c>
      <c r="J40" s="177">
        <v>46477</v>
      </c>
      <c r="K40" s="164">
        <v>2027</v>
      </c>
      <c r="L40" s="148">
        <v>583.33000000000004</v>
      </c>
      <c r="M40" s="148">
        <v>583.33000000000004</v>
      </c>
      <c r="N40" s="148">
        <v>0</v>
      </c>
      <c r="O40" s="149">
        <v>0</v>
      </c>
      <c r="P40" s="145">
        <v>11</v>
      </c>
      <c r="Q40" s="74">
        <v>46477</v>
      </c>
      <c r="R40" s="75">
        <v>2027</v>
      </c>
      <c r="S40" s="75">
        <v>583.33000000000004</v>
      </c>
      <c r="T40" s="75">
        <v>583.33000000000004</v>
      </c>
      <c r="U40" s="63"/>
      <c r="V40" s="75">
        <v>0</v>
      </c>
      <c r="W40" s="76" t="s">
        <v>1104</v>
      </c>
      <c r="X40" s="109">
        <v>11</v>
      </c>
      <c r="Y40" s="111">
        <v>46477</v>
      </c>
      <c r="Z40" s="118">
        <v>2027</v>
      </c>
      <c r="AA40" s="118">
        <v>583.33000000000004</v>
      </c>
      <c r="AB40" s="118">
        <v>583.33000000000004</v>
      </c>
      <c r="AC40" s="116"/>
      <c r="AD40" s="114">
        <v>0</v>
      </c>
      <c r="AE40" s="113" t="s">
        <v>1104</v>
      </c>
      <c r="AF40" s="73">
        <v>11</v>
      </c>
      <c r="AG40" s="74">
        <v>46477</v>
      </c>
      <c r="AH40" s="75">
        <v>2027</v>
      </c>
      <c r="AI40" s="75">
        <v>583.33000000000004</v>
      </c>
      <c r="AJ40" s="75">
        <v>583.33000000000004</v>
      </c>
      <c r="AK40" s="63"/>
      <c r="AL40" s="75">
        <v>0</v>
      </c>
      <c r="AM40" s="76" t="s">
        <v>1104</v>
      </c>
      <c r="AN40" s="45"/>
      <c r="AO40" s="45"/>
      <c r="AP40" s="45"/>
      <c r="AQ40" s="45"/>
      <c r="AR40" s="45"/>
    </row>
    <row r="41" spans="1:44" ht="63.75" thickBot="1">
      <c r="A41" s="297"/>
      <c r="B41" s="189" t="s">
        <v>1087</v>
      </c>
      <c r="C41" s="190">
        <v>46507</v>
      </c>
      <c r="D41" s="191">
        <v>2027</v>
      </c>
      <c r="E41" s="192">
        <v>583.37</v>
      </c>
      <c r="F41" s="192">
        <v>583.37</v>
      </c>
      <c r="G41" s="192"/>
      <c r="H41" s="193">
        <v>0</v>
      </c>
      <c r="I41" s="170">
        <v>12</v>
      </c>
      <c r="J41" s="177">
        <v>46507</v>
      </c>
      <c r="K41" s="164">
        <v>2027</v>
      </c>
      <c r="L41" s="148">
        <v>583.37</v>
      </c>
      <c r="M41" s="148">
        <v>583.37</v>
      </c>
      <c r="N41" s="148">
        <v>0</v>
      </c>
      <c r="O41" s="149">
        <v>0</v>
      </c>
      <c r="P41" s="145">
        <v>12</v>
      </c>
      <c r="Q41" s="74">
        <v>46507</v>
      </c>
      <c r="R41" s="75">
        <v>2027</v>
      </c>
      <c r="S41" s="75">
        <v>583.37</v>
      </c>
      <c r="T41" s="75">
        <v>583.37</v>
      </c>
      <c r="U41" s="63"/>
      <c r="V41" s="75">
        <v>0</v>
      </c>
      <c r="W41" s="76" t="s">
        <v>1104</v>
      </c>
      <c r="X41" s="109">
        <v>12</v>
      </c>
      <c r="Y41" s="111">
        <v>46507</v>
      </c>
      <c r="Z41" s="118">
        <v>2027</v>
      </c>
      <c r="AA41" s="118">
        <v>583.37</v>
      </c>
      <c r="AB41" s="118">
        <v>583.37</v>
      </c>
      <c r="AC41" s="116"/>
      <c r="AD41" s="114">
        <v>0</v>
      </c>
      <c r="AE41" s="113" t="s">
        <v>1104</v>
      </c>
      <c r="AF41" s="73">
        <v>12</v>
      </c>
      <c r="AG41" s="74">
        <v>46507</v>
      </c>
      <c r="AH41" s="75">
        <v>2027</v>
      </c>
      <c r="AI41" s="75">
        <v>583.37</v>
      </c>
      <c r="AJ41" s="75">
        <v>583.37</v>
      </c>
      <c r="AK41" s="63"/>
      <c r="AL41" s="75">
        <v>0</v>
      </c>
      <c r="AM41" s="76" t="s">
        <v>1104</v>
      </c>
      <c r="AN41" s="45"/>
      <c r="AO41" s="45"/>
      <c r="AP41" s="45"/>
      <c r="AQ41" s="45"/>
      <c r="AR41" s="45"/>
    </row>
    <row r="42" spans="1:44" ht="79.5" thickBot="1">
      <c r="A42" s="298"/>
      <c r="B42" s="194" t="s">
        <v>1100</v>
      </c>
      <c r="C42" s="195">
        <v>46507</v>
      </c>
      <c r="D42" s="196">
        <v>2027</v>
      </c>
      <c r="E42" s="197">
        <v>1000</v>
      </c>
      <c r="F42" s="197">
        <v>0</v>
      </c>
      <c r="G42" s="197">
        <v>1000</v>
      </c>
      <c r="H42" s="198">
        <v>0</v>
      </c>
      <c r="I42" s="179" t="s">
        <v>1074</v>
      </c>
      <c r="J42" s="180">
        <v>46507</v>
      </c>
      <c r="K42" s="181">
        <v>2027</v>
      </c>
      <c r="L42" s="182">
        <v>1000</v>
      </c>
      <c r="M42" s="182">
        <v>0</v>
      </c>
      <c r="N42" s="182">
        <v>1000</v>
      </c>
      <c r="O42" s="183">
        <v>0</v>
      </c>
      <c r="P42" s="146" t="s">
        <v>1100</v>
      </c>
      <c r="Q42" s="80">
        <v>46507</v>
      </c>
      <c r="R42" s="77">
        <v>2027</v>
      </c>
      <c r="S42" s="77">
        <v>1000</v>
      </c>
      <c r="T42" s="77">
        <v>0</v>
      </c>
      <c r="U42" s="77">
        <v>1000</v>
      </c>
      <c r="V42" s="77">
        <v>0</v>
      </c>
      <c r="W42" s="78" t="s">
        <v>1105</v>
      </c>
      <c r="X42" s="119" t="s">
        <v>1100</v>
      </c>
      <c r="Y42" s="123">
        <v>46507</v>
      </c>
      <c r="Z42" s="122">
        <v>2027</v>
      </c>
      <c r="AA42" s="122">
        <v>1000</v>
      </c>
      <c r="AB42" s="122">
        <v>0</v>
      </c>
      <c r="AC42" s="122">
        <v>1000</v>
      </c>
      <c r="AD42" s="121">
        <v>0</v>
      </c>
      <c r="AE42" s="120" t="s">
        <v>1105</v>
      </c>
      <c r="AF42" s="79" t="s">
        <v>1100</v>
      </c>
      <c r="AG42" s="80">
        <v>46507</v>
      </c>
      <c r="AH42" s="77">
        <v>2027</v>
      </c>
      <c r="AI42" s="240">
        <v>1000</v>
      </c>
      <c r="AJ42" s="77">
        <v>0</v>
      </c>
      <c r="AK42" s="240">
        <v>1000</v>
      </c>
      <c r="AL42" s="77">
        <v>0</v>
      </c>
      <c r="AM42" s="78" t="s">
        <v>1105</v>
      </c>
      <c r="AN42" s="45"/>
      <c r="AO42" s="45"/>
      <c r="AP42" s="45"/>
      <c r="AQ42" s="45"/>
      <c r="AR42" s="45"/>
    </row>
    <row r="43" spans="1:44" ht="75">
      <c r="A43" s="296" t="s">
        <v>1123</v>
      </c>
      <c r="B43" s="199" t="s">
        <v>990</v>
      </c>
      <c r="C43" s="200">
        <v>46127</v>
      </c>
      <c r="D43" s="201">
        <v>2026</v>
      </c>
      <c r="E43" s="202">
        <v>1500</v>
      </c>
      <c r="F43" s="202">
        <v>1500</v>
      </c>
      <c r="G43" s="202"/>
      <c r="H43" s="203">
        <v>0</v>
      </c>
      <c r="I43" s="151" t="s">
        <v>990</v>
      </c>
      <c r="J43" s="166">
        <f ca="1">$M$58</f>
        <v>46127</v>
      </c>
      <c r="K43" s="167">
        <f ca="1">YEAR(J43)</f>
        <v>2026</v>
      </c>
      <c r="L43" s="168">
        <f ca="1">ROUND($M$59*$M$60,2)</f>
        <v>1500</v>
      </c>
      <c r="M43" s="168">
        <v>1500</v>
      </c>
      <c r="N43" s="168">
        <v>0</v>
      </c>
      <c r="O43" s="169">
        <v>0</v>
      </c>
      <c r="P43" s="144" t="s">
        <v>990</v>
      </c>
      <c r="Q43" s="70">
        <v>46127</v>
      </c>
      <c r="R43" s="71">
        <v>2026</v>
      </c>
      <c r="S43" s="71">
        <v>1500</v>
      </c>
      <c r="T43" s="71">
        <v>1500</v>
      </c>
      <c r="U43" s="59"/>
      <c r="V43" s="71">
        <v>0</v>
      </c>
      <c r="W43" s="72" t="s">
        <v>1103</v>
      </c>
      <c r="X43" s="85" t="s">
        <v>990</v>
      </c>
      <c r="Y43" s="86">
        <v>46127</v>
      </c>
      <c r="Z43" s="87">
        <v>2026</v>
      </c>
      <c r="AA43" s="87">
        <v>1500</v>
      </c>
      <c r="AB43" s="87">
        <v>1500</v>
      </c>
      <c r="AC43" s="87"/>
      <c r="AD43" s="124">
        <v>0</v>
      </c>
      <c r="AE43" s="125" t="s">
        <v>1103</v>
      </c>
      <c r="AF43" s="57" t="s">
        <v>990</v>
      </c>
      <c r="AG43" s="58">
        <v>46127</v>
      </c>
      <c r="AH43" s="59">
        <v>2026</v>
      </c>
      <c r="AI43" s="59">
        <v>1500</v>
      </c>
      <c r="AJ43" s="59">
        <v>1500</v>
      </c>
      <c r="AK43" s="59"/>
      <c r="AL43" s="59">
        <v>0</v>
      </c>
      <c r="AM43" s="89" t="s">
        <v>1103</v>
      </c>
      <c r="AN43" s="45"/>
      <c r="AO43" s="45"/>
      <c r="AP43" s="45"/>
      <c r="AQ43" s="45"/>
      <c r="AR43" s="45"/>
    </row>
    <row r="44" spans="1:44" ht="60">
      <c r="A44" s="297"/>
      <c r="B44" s="189" t="s">
        <v>1076</v>
      </c>
      <c r="C44" s="190">
        <v>46173</v>
      </c>
      <c r="D44" s="191">
        <v>2026</v>
      </c>
      <c r="E44" s="192">
        <v>190.23</v>
      </c>
      <c r="F44" s="192">
        <v>166.64</v>
      </c>
      <c r="G44" s="192"/>
      <c r="H44" s="193">
        <v>23.59</v>
      </c>
      <c r="I44" s="170">
        <v>1</v>
      </c>
      <c r="J44" s="160">
        <f ca="1">EOMONTH($M$58,I44)</f>
        <v>46173</v>
      </c>
      <c r="K44" s="164">
        <f t="shared" ref="K44:K79" ca="1" si="5">YEAR(J44)</f>
        <v>2026</v>
      </c>
      <c r="L44" s="165">
        <f ca="1">ROUND(IF($M$62=0,(($M$59-ROUND($M$59*$M$60,2))-ROUND($M$59*$M$61,2))/($M$63*$M$64),(($M$62/$M$64)*(($M$59-ROUND($M$59*$M$60,2))-ROUND($M$59*$M$61,2)/(1+$M$62/$M$64)^($M$63*$M$64)))/(1-(1+$M$62/$M$64)^(-$M$63*$M$64))),2)</f>
        <v>190.23</v>
      </c>
      <c r="M44" s="165">
        <f ca="1">ROUND(L44-O44,2)</f>
        <v>166.64</v>
      </c>
      <c r="N44" s="165">
        <f>0</f>
        <v>0</v>
      </c>
      <c r="O44" s="171">
        <f ca="1">ROUND(P43*($M$62/$M$64),2)</f>
        <v>23.59</v>
      </c>
      <c r="P44" s="145">
        <v>1</v>
      </c>
      <c r="Q44" s="74">
        <v>46173</v>
      </c>
      <c r="R44" s="75">
        <v>2026</v>
      </c>
      <c r="S44" s="75">
        <v>190.23</v>
      </c>
      <c r="T44" s="75">
        <v>166.64</v>
      </c>
      <c r="U44" s="63"/>
      <c r="V44" s="75">
        <v>23.59</v>
      </c>
      <c r="W44" s="76" t="s">
        <v>1104</v>
      </c>
      <c r="X44" s="90">
        <v>1</v>
      </c>
      <c r="Y44" s="91">
        <v>46173</v>
      </c>
      <c r="Z44" s="92">
        <v>2026</v>
      </c>
      <c r="AA44" s="129">
        <v>190.3</v>
      </c>
      <c r="AB44" s="129">
        <v>166.71</v>
      </c>
      <c r="AC44" s="92"/>
      <c r="AD44" s="130">
        <v>23.59</v>
      </c>
      <c r="AE44" s="128" t="s">
        <v>1104</v>
      </c>
      <c r="AF44" s="61">
        <v>1</v>
      </c>
      <c r="AG44" s="62">
        <v>46173</v>
      </c>
      <c r="AH44" s="63">
        <v>2026</v>
      </c>
      <c r="AI44" s="63">
        <v>190.23</v>
      </c>
      <c r="AJ44" s="63">
        <v>166.64</v>
      </c>
      <c r="AK44" s="63"/>
      <c r="AL44" s="63">
        <v>23.59</v>
      </c>
      <c r="AM44" s="94" t="s">
        <v>1104</v>
      </c>
      <c r="AN44" s="45"/>
      <c r="AO44" s="45"/>
      <c r="AP44" s="45"/>
      <c r="AQ44" s="45"/>
      <c r="AR44" s="45"/>
    </row>
    <row r="45" spans="1:44" ht="60">
      <c r="A45" s="297"/>
      <c r="B45" s="189" t="s">
        <v>1077</v>
      </c>
      <c r="C45" s="190">
        <v>46203</v>
      </c>
      <c r="D45" s="191">
        <v>2026</v>
      </c>
      <c r="E45" s="192">
        <v>190.23</v>
      </c>
      <c r="F45" s="192">
        <v>167.1</v>
      </c>
      <c r="G45" s="192"/>
      <c r="H45" s="193">
        <v>23.13</v>
      </c>
      <c r="I45" s="170">
        <v>2</v>
      </c>
      <c r="J45" s="160">
        <f t="shared" ref="J45:J79" ca="1" si="6">EOMONTH($M$58,I45)</f>
        <v>46203</v>
      </c>
      <c r="K45" s="164">
        <f t="shared" ca="1" si="5"/>
        <v>2026</v>
      </c>
      <c r="L45" s="165">
        <f t="shared" ref="L45:L78" ca="1" si="7">ROUND(IF($M$62=0,(($M$59-ROUND($M$59*$M$60,2))-ROUND($M$59*$M$61,2))/($M$63*$M$64),(($M$62/$M$64)*(($M$59-ROUND($M$59*$M$60,2))-ROUND($M$59*$M$61,2)/(1+$M$62/$M$64)^($M$63*$M$64)))/(1-(1+$M$62/$M$64)^(-$M$63*$M$64))),2)</f>
        <v>190.23</v>
      </c>
      <c r="M45" s="165">
        <f t="shared" ref="M45:M78" ca="1" si="8">ROUND(L45-O45,2)</f>
        <v>167.1</v>
      </c>
      <c r="N45" s="165">
        <f>0</f>
        <v>0</v>
      </c>
      <c r="O45" s="171">
        <f t="shared" ref="O45:O78" ca="1" si="9">ROUND(P44*($M$62/$M$64),2)</f>
        <v>23.13</v>
      </c>
      <c r="P45" s="145">
        <v>2</v>
      </c>
      <c r="Q45" s="74">
        <v>46203</v>
      </c>
      <c r="R45" s="75">
        <v>2026</v>
      </c>
      <c r="S45" s="75">
        <v>190.23</v>
      </c>
      <c r="T45" s="75">
        <v>167.1</v>
      </c>
      <c r="U45" s="63"/>
      <c r="V45" s="75">
        <v>23.13</v>
      </c>
      <c r="W45" s="76" t="s">
        <v>1104</v>
      </c>
      <c r="X45" s="90">
        <v>2</v>
      </c>
      <c r="Y45" s="91">
        <v>46203</v>
      </c>
      <c r="Z45" s="92">
        <v>2026</v>
      </c>
      <c r="AA45" s="129">
        <v>190.3</v>
      </c>
      <c r="AB45" s="129">
        <v>167.18</v>
      </c>
      <c r="AC45" s="92"/>
      <c r="AD45" s="131">
        <v>23.12</v>
      </c>
      <c r="AE45" s="128" t="s">
        <v>1104</v>
      </c>
      <c r="AF45" s="61">
        <v>2</v>
      </c>
      <c r="AG45" s="62">
        <v>46203</v>
      </c>
      <c r="AH45" s="63">
        <v>2026</v>
      </c>
      <c r="AI45" s="63">
        <v>190.23</v>
      </c>
      <c r="AJ45" s="63">
        <v>167.1</v>
      </c>
      <c r="AK45" s="63"/>
      <c r="AL45" s="63">
        <v>23.13</v>
      </c>
      <c r="AM45" s="94" t="s">
        <v>1104</v>
      </c>
      <c r="AN45" s="45"/>
      <c r="AO45" s="45"/>
      <c r="AP45" s="45"/>
      <c r="AQ45" s="45"/>
      <c r="AR45" s="45"/>
    </row>
    <row r="46" spans="1:44" ht="60">
      <c r="A46" s="297"/>
      <c r="B46" s="189" t="s">
        <v>1078</v>
      </c>
      <c r="C46" s="190">
        <v>46234</v>
      </c>
      <c r="D46" s="191">
        <v>2026</v>
      </c>
      <c r="E46" s="192">
        <v>190.23</v>
      </c>
      <c r="F46" s="192">
        <v>167.57</v>
      </c>
      <c r="G46" s="192"/>
      <c r="H46" s="193">
        <v>22.66</v>
      </c>
      <c r="I46" s="170">
        <v>3</v>
      </c>
      <c r="J46" s="160">
        <f t="shared" ca="1" si="6"/>
        <v>46234</v>
      </c>
      <c r="K46" s="164">
        <f t="shared" ca="1" si="5"/>
        <v>2026</v>
      </c>
      <c r="L46" s="165">
        <f t="shared" ca="1" si="7"/>
        <v>190.23</v>
      </c>
      <c r="M46" s="165">
        <f t="shared" ca="1" si="8"/>
        <v>167.57</v>
      </c>
      <c r="N46" s="165">
        <f>0</f>
        <v>0</v>
      </c>
      <c r="O46" s="171">
        <f t="shared" ca="1" si="9"/>
        <v>22.66</v>
      </c>
      <c r="P46" s="145">
        <v>3</v>
      </c>
      <c r="Q46" s="74">
        <v>46234</v>
      </c>
      <c r="R46" s="75">
        <v>2026</v>
      </c>
      <c r="S46" s="75">
        <v>190.23</v>
      </c>
      <c r="T46" s="75">
        <v>167.57</v>
      </c>
      <c r="U46" s="63"/>
      <c r="V46" s="75">
        <v>22.66</v>
      </c>
      <c r="W46" s="76" t="s">
        <v>1104</v>
      </c>
      <c r="X46" s="90">
        <v>3</v>
      </c>
      <c r="Y46" s="91">
        <v>46234</v>
      </c>
      <c r="Z46" s="92">
        <v>2026</v>
      </c>
      <c r="AA46" s="129">
        <v>190.3</v>
      </c>
      <c r="AB46" s="129">
        <v>167.64</v>
      </c>
      <c r="AC46" s="92"/>
      <c r="AD46" s="130">
        <v>22.66</v>
      </c>
      <c r="AE46" s="128" t="s">
        <v>1104</v>
      </c>
      <c r="AF46" s="61">
        <v>3</v>
      </c>
      <c r="AG46" s="62">
        <v>46234</v>
      </c>
      <c r="AH46" s="63">
        <v>2026</v>
      </c>
      <c r="AI46" s="63">
        <v>190.23</v>
      </c>
      <c r="AJ46" s="63">
        <v>167.57</v>
      </c>
      <c r="AK46" s="63"/>
      <c r="AL46" s="63">
        <v>22.66</v>
      </c>
      <c r="AM46" s="94" t="s">
        <v>1104</v>
      </c>
      <c r="AN46" s="45"/>
      <c r="AO46" s="45"/>
      <c r="AP46" s="45"/>
      <c r="AQ46" s="45"/>
      <c r="AR46" s="45"/>
    </row>
    <row r="47" spans="1:44" ht="60">
      <c r="A47" s="297"/>
      <c r="B47" s="189" t="s">
        <v>1079</v>
      </c>
      <c r="C47" s="190">
        <v>46265</v>
      </c>
      <c r="D47" s="191">
        <v>2026</v>
      </c>
      <c r="E47" s="192">
        <v>190.23</v>
      </c>
      <c r="F47" s="192">
        <v>168.03</v>
      </c>
      <c r="G47" s="192"/>
      <c r="H47" s="193">
        <v>22.2</v>
      </c>
      <c r="I47" s="170">
        <v>4</v>
      </c>
      <c r="J47" s="160">
        <f t="shared" ca="1" si="6"/>
        <v>46265</v>
      </c>
      <c r="K47" s="164">
        <f t="shared" ca="1" si="5"/>
        <v>2026</v>
      </c>
      <c r="L47" s="165">
        <f t="shared" ca="1" si="7"/>
        <v>190.23</v>
      </c>
      <c r="M47" s="165">
        <f t="shared" ca="1" si="8"/>
        <v>168.03</v>
      </c>
      <c r="N47" s="165">
        <f>0</f>
        <v>0</v>
      </c>
      <c r="O47" s="171">
        <f t="shared" ca="1" si="9"/>
        <v>22.2</v>
      </c>
      <c r="P47" s="145">
        <v>4</v>
      </c>
      <c r="Q47" s="74">
        <v>46265</v>
      </c>
      <c r="R47" s="75">
        <v>2026</v>
      </c>
      <c r="S47" s="75">
        <v>190.23</v>
      </c>
      <c r="T47" s="75">
        <v>168.03</v>
      </c>
      <c r="U47" s="63"/>
      <c r="V47" s="75">
        <v>22.2</v>
      </c>
      <c r="W47" s="76" t="s">
        <v>1104</v>
      </c>
      <c r="X47" s="90">
        <v>4</v>
      </c>
      <c r="Y47" s="91">
        <v>46265</v>
      </c>
      <c r="Z47" s="92">
        <v>2026</v>
      </c>
      <c r="AA47" s="129">
        <v>190.3</v>
      </c>
      <c r="AB47" s="129">
        <v>168.1</v>
      </c>
      <c r="AC47" s="92"/>
      <c r="AD47" s="130">
        <v>22.2</v>
      </c>
      <c r="AE47" s="128" t="s">
        <v>1104</v>
      </c>
      <c r="AF47" s="61">
        <v>4</v>
      </c>
      <c r="AG47" s="62">
        <v>46265</v>
      </c>
      <c r="AH47" s="63">
        <v>2026</v>
      </c>
      <c r="AI47" s="63">
        <v>190.23</v>
      </c>
      <c r="AJ47" s="63">
        <v>168.03</v>
      </c>
      <c r="AK47" s="63"/>
      <c r="AL47" s="63">
        <v>22.2</v>
      </c>
      <c r="AM47" s="94" t="s">
        <v>1104</v>
      </c>
      <c r="AN47" s="45"/>
      <c r="AO47" s="45"/>
      <c r="AP47" s="45"/>
      <c r="AQ47" s="45"/>
      <c r="AR47" s="45"/>
    </row>
    <row r="48" spans="1:44" ht="60">
      <c r="A48" s="297"/>
      <c r="B48" s="189" t="s">
        <v>1080</v>
      </c>
      <c r="C48" s="190">
        <v>46295</v>
      </c>
      <c r="D48" s="191">
        <v>2026</v>
      </c>
      <c r="E48" s="192">
        <v>190.23</v>
      </c>
      <c r="F48" s="192">
        <v>168.5</v>
      </c>
      <c r="G48" s="192"/>
      <c r="H48" s="193">
        <v>21.73</v>
      </c>
      <c r="I48" s="170">
        <v>5</v>
      </c>
      <c r="J48" s="160">
        <f t="shared" ca="1" si="6"/>
        <v>46295</v>
      </c>
      <c r="K48" s="164">
        <f t="shared" ca="1" si="5"/>
        <v>2026</v>
      </c>
      <c r="L48" s="165">
        <f t="shared" ca="1" si="7"/>
        <v>190.23</v>
      </c>
      <c r="M48" s="165">
        <f t="shared" ca="1" si="8"/>
        <v>168.5</v>
      </c>
      <c r="N48" s="165">
        <f>0</f>
        <v>0</v>
      </c>
      <c r="O48" s="171">
        <f t="shared" ca="1" si="9"/>
        <v>21.73</v>
      </c>
      <c r="P48" s="145">
        <v>5</v>
      </c>
      <c r="Q48" s="74">
        <v>46295</v>
      </c>
      <c r="R48" s="75">
        <v>2026</v>
      </c>
      <c r="S48" s="75">
        <v>190.23</v>
      </c>
      <c r="T48" s="75">
        <v>168.5</v>
      </c>
      <c r="U48" s="63"/>
      <c r="V48" s="75">
        <v>21.73</v>
      </c>
      <c r="W48" s="76" t="s">
        <v>1104</v>
      </c>
      <c r="X48" s="90">
        <v>5</v>
      </c>
      <c r="Y48" s="91">
        <v>46295</v>
      </c>
      <c r="Z48" s="92">
        <v>2026</v>
      </c>
      <c r="AA48" s="129">
        <v>190.3</v>
      </c>
      <c r="AB48" s="129">
        <v>168.57</v>
      </c>
      <c r="AC48" s="92"/>
      <c r="AD48" s="130">
        <v>21.73</v>
      </c>
      <c r="AE48" s="128" t="s">
        <v>1104</v>
      </c>
      <c r="AF48" s="61">
        <v>5</v>
      </c>
      <c r="AG48" s="62">
        <v>46295</v>
      </c>
      <c r="AH48" s="63">
        <v>2026</v>
      </c>
      <c r="AI48" s="63">
        <v>190.23</v>
      </c>
      <c r="AJ48" s="63">
        <v>168.5</v>
      </c>
      <c r="AK48" s="63"/>
      <c r="AL48" s="63">
        <v>21.73</v>
      </c>
      <c r="AM48" s="94" t="s">
        <v>1104</v>
      </c>
      <c r="AN48" s="45"/>
      <c r="AO48" s="45"/>
      <c r="AP48" s="45"/>
      <c r="AQ48" s="45"/>
      <c r="AR48" s="45"/>
    </row>
    <row r="49" spans="1:44" ht="60">
      <c r="A49" s="297"/>
      <c r="B49" s="189" t="s">
        <v>1081</v>
      </c>
      <c r="C49" s="190">
        <v>46326</v>
      </c>
      <c r="D49" s="191">
        <v>2026</v>
      </c>
      <c r="E49" s="192">
        <v>190.23</v>
      </c>
      <c r="F49" s="192">
        <v>168.97</v>
      </c>
      <c r="G49" s="192"/>
      <c r="H49" s="193">
        <v>21.26</v>
      </c>
      <c r="I49" s="170">
        <v>6</v>
      </c>
      <c r="J49" s="160">
        <f t="shared" ca="1" si="6"/>
        <v>46326</v>
      </c>
      <c r="K49" s="164">
        <f t="shared" ca="1" si="5"/>
        <v>2026</v>
      </c>
      <c r="L49" s="165">
        <f t="shared" ca="1" si="7"/>
        <v>190.23</v>
      </c>
      <c r="M49" s="165">
        <f t="shared" ca="1" si="8"/>
        <v>168.97</v>
      </c>
      <c r="N49" s="165">
        <f>0</f>
        <v>0</v>
      </c>
      <c r="O49" s="171">
        <f t="shared" ca="1" si="9"/>
        <v>21.26</v>
      </c>
      <c r="P49" s="145">
        <v>6</v>
      </c>
      <c r="Q49" s="74">
        <v>46326</v>
      </c>
      <c r="R49" s="75">
        <v>2026</v>
      </c>
      <c r="S49" s="75">
        <v>190.23</v>
      </c>
      <c r="T49" s="75">
        <v>168.97</v>
      </c>
      <c r="U49" s="63"/>
      <c r="V49" s="75">
        <v>21.26</v>
      </c>
      <c r="W49" s="76" t="s">
        <v>1104</v>
      </c>
      <c r="X49" s="90">
        <v>6</v>
      </c>
      <c r="Y49" s="91">
        <v>46326</v>
      </c>
      <c r="Z49" s="92">
        <v>2026</v>
      </c>
      <c r="AA49" s="129">
        <v>190.3</v>
      </c>
      <c r="AB49" s="129">
        <v>169.04</v>
      </c>
      <c r="AC49" s="92"/>
      <c r="AD49" s="130">
        <v>21.26</v>
      </c>
      <c r="AE49" s="128" t="s">
        <v>1104</v>
      </c>
      <c r="AF49" s="61">
        <v>6</v>
      </c>
      <c r="AG49" s="62">
        <v>46326</v>
      </c>
      <c r="AH49" s="63">
        <v>2026</v>
      </c>
      <c r="AI49" s="63">
        <v>190.23</v>
      </c>
      <c r="AJ49" s="63">
        <v>168.97</v>
      </c>
      <c r="AK49" s="63"/>
      <c r="AL49" s="63">
        <v>21.26</v>
      </c>
      <c r="AM49" s="94" t="s">
        <v>1104</v>
      </c>
      <c r="AN49" s="45"/>
      <c r="AO49" s="45"/>
      <c r="AP49" s="45"/>
      <c r="AQ49" s="45"/>
      <c r="AR49" s="45"/>
    </row>
    <row r="50" spans="1:44" ht="60">
      <c r="A50" s="297"/>
      <c r="B50" s="189" t="s">
        <v>1082</v>
      </c>
      <c r="C50" s="190">
        <v>46356</v>
      </c>
      <c r="D50" s="191">
        <v>2026</v>
      </c>
      <c r="E50" s="192">
        <v>190.23</v>
      </c>
      <c r="F50" s="192">
        <v>169.44</v>
      </c>
      <c r="G50" s="192"/>
      <c r="H50" s="193">
        <v>20.79</v>
      </c>
      <c r="I50" s="170">
        <v>7</v>
      </c>
      <c r="J50" s="160">
        <f t="shared" ca="1" si="6"/>
        <v>46356</v>
      </c>
      <c r="K50" s="164">
        <f t="shared" ca="1" si="5"/>
        <v>2026</v>
      </c>
      <c r="L50" s="165">
        <f t="shared" ca="1" si="7"/>
        <v>190.23</v>
      </c>
      <c r="M50" s="165">
        <f t="shared" ca="1" si="8"/>
        <v>169.44</v>
      </c>
      <c r="N50" s="165">
        <f>0</f>
        <v>0</v>
      </c>
      <c r="O50" s="171">
        <f t="shared" ca="1" si="9"/>
        <v>20.79</v>
      </c>
      <c r="P50" s="145">
        <v>7</v>
      </c>
      <c r="Q50" s="74">
        <v>46356</v>
      </c>
      <c r="R50" s="75">
        <v>2026</v>
      </c>
      <c r="S50" s="75">
        <v>190.23</v>
      </c>
      <c r="T50" s="75">
        <v>169.44</v>
      </c>
      <c r="U50" s="63"/>
      <c r="V50" s="75">
        <v>20.79</v>
      </c>
      <c r="W50" s="76" t="s">
        <v>1104</v>
      </c>
      <c r="X50" s="90">
        <v>7</v>
      </c>
      <c r="Y50" s="91">
        <v>46356</v>
      </c>
      <c r="Z50" s="92">
        <v>2026</v>
      </c>
      <c r="AA50" s="129">
        <v>190.3</v>
      </c>
      <c r="AB50" s="129">
        <v>169.51</v>
      </c>
      <c r="AC50" s="92"/>
      <c r="AD50" s="130">
        <v>20.79</v>
      </c>
      <c r="AE50" s="128" t="s">
        <v>1104</v>
      </c>
      <c r="AF50" s="61">
        <v>7</v>
      </c>
      <c r="AG50" s="62">
        <v>46356</v>
      </c>
      <c r="AH50" s="63">
        <v>2026</v>
      </c>
      <c r="AI50" s="63">
        <v>190.23</v>
      </c>
      <c r="AJ50" s="63">
        <v>169.44</v>
      </c>
      <c r="AK50" s="63"/>
      <c r="AL50" s="63">
        <v>20.79</v>
      </c>
      <c r="AM50" s="94" t="s">
        <v>1104</v>
      </c>
      <c r="AN50" s="45"/>
      <c r="AO50" s="45"/>
      <c r="AP50" s="45"/>
      <c r="AQ50" s="45"/>
      <c r="AR50" s="45"/>
    </row>
    <row r="51" spans="1:44" ht="60">
      <c r="A51" s="297"/>
      <c r="B51" s="189" t="s">
        <v>1083</v>
      </c>
      <c r="C51" s="190">
        <v>46387</v>
      </c>
      <c r="D51" s="191">
        <v>2026</v>
      </c>
      <c r="E51" s="192">
        <v>190.23</v>
      </c>
      <c r="F51" s="192">
        <v>169.91</v>
      </c>
      <c r="G51" s="192"/>
      <c r="H51" s="193">
        <v>20.32</v>
      </c>
      <c r="I51" s="170">
        <v>8</v>
      </c>
      <c r="J51" s="160">
        <f t="shared" ca="1" si="6"/>
        <v>46387</v>
      </c>
      <c r="K51" s="164">
        <f t="shared" ca="1" si="5"/>
        <v>2026</v>
      </c>
      <c r="L51" s="165">
        <f t="shared" ca="1" si="7"/>
        <v>190.23</v>
      </c>
      <c r="M51" s="165">
        <f t="shared" ca="1" si="8"/>
        <v>169.91</v>
      </c>
      <c r="N51" s="165">
        <f>0</f>
        <v>0</v>
      </c>
      <c r="O51" s="171">
        <f t="shared" ca="1" si="9"/>
        <v>20.32</v>
      </c>
      <c r="P51" s="145">
        <v>8</v>
      </c>
      <c r="Q51" s="74">
        <v>46387</v>
      </c>
      <c r="R51" s="75">
        <v>2026</v>
      </c>
      <c r="S51" s="75">
        <v>190.23</v>
      </c>
      <c r="T51" s="75">
        <v>169.91</v>
      </c>
      <c r="U51" s="63"/>
      <c r="V51" s="75">
        <v>20.32</v>
      </c>
      <c r="W51" s="76" t="s">
        <v>1104</v>
      </c>
      <c r="X51" s="90">
        <v>8</v>
      </c>
      <c r="Y51" s="91">
        <v>46387</v>
      </c>
      <c r="Z51" s="92">
        <v>2026</v>
      </c>
      <c r="AA51" s="129">
        <v>190.3</v>
      </c>
      <c r="AB51" s="129">
        <v>169.98</v>
      </c>
      <c r="AC51" s="92"/>
      <c r="AD51" s="130">
        <v>20.32</v>
      </c>
      <c r="AE51" s="128" t="s">
        <v>1104</v>
      </c>
      <c r="AF51" s="61">
        <v>8</v>
      </c>
      <c r="AG51" s="62">
        <v>46387</v>
      </c>
      <c r="AH51" s="63">
        <v>2026</v>
      </c>
      <c r="AI51" s="63">
        <v>190.23</v>
      </c>
      <c r="AJ51" s="63">
        <v>169.91</v>
      </c>
      <c r="AK51" s="63"/>
      <c r="AL51" s="63">
        <v>20.32</v>
      </c>
      <c r="AM51" s="94" t="s">
        <v>1104</v>
      </c>
      <c r="AN51" s="45"/>
      <c r="AO51" s="45"/>
      <c r="AP51" s="45"/>
      <c r="AQ51" s="45"/>
      <c r="AR51" s="45"/>
    </row>
    <row r="52" spans="1:44" ht="60">
      <c r="A52" s="297"/>
      <c r="B52" s="189" t="s">
        <v>1084</v>
      </c>
      <c r="C52" s="190">
        <v>46418</v>
      </c>
      <c r="D52" s="191">
        <v>2027</v>
      </c>
      <c r="E52" s="192">
        <v>190.23</v>
      </c>
      <c r="F52" s="192">
        <v>170.38</v>
      </c>
      <c r="G52" s="192"/>
      <c r="H52" s="193">
        <v>19.850000000000001</v>
      </c>
      <c r="I52" s="170">
        <v>9</v>
      </c>
      <c r="J52" s="160">
        <f t="shared" ca="1" si="6"/>
        <v>46418</v>
      </c>
      <c r="K52" s="164">
        <f t="shared" ca="1" si="5"/>
        <v>2027</v>
      </c>
      <c r="L52" s="165">
        <f t="shared" ca="1" si="7"/>
        <v>190.23</v>
      </c>
      <c r="M52" s="165">
        <f ca="1">ROUND(L52-O52,2)</f>
        <v>170.38</v>
      </c>
      <c r="N52" s="165">
        <f>0</f>
        <v>0</v>
      </c>
      <c r="O52" s="171">
        <f t="shared" ca="1" si="9"/>
        <v>19.850000000000001</v>
      </c>
      <c r="P52" s="145">
        <v>9</v>
      </c>
      <c r="Q52" s="74">
        <v>46418</v>
      </c>
      <c r="R52" s="75">
        <v>2027</v>
      </c>
      <c r="S52" s="75">
        <v>190.23</v>
      </c>
      <c r="T52" s="75">
        <v>170.38</v>
      </c>
      <c r="U52" s="63"/>
      <c r="V52" s="75">
        <v>19.850000000000001</v>
      </c>
      <c r="W52" s="76" t="s">
        <v>1104</v>
      </c>
      <c r="X52" s="90">
        <v>9</v>
      </c>
      <c r="Y52" s="91">
        <v>46418</v>
      </c>
      <c r="Z52" s="92">
        <v>2027</v>
      </c>
      <c r="AA52" s="129">
        <v>190.3</v>
      </c>
      <c r="AB52" s="129">
        <v>170.45</v>
      </c>
      <c r="AC52" s="92"/>
      <c r="AD52" s="130">
        <v>19.850000000000001</v>
      </c>
      <c r="AE52" s="128" t="s">
        <v>1104</v>
      </c>
      <c r="AF52" s="61">
        <v>9</v>
      </c>
      <c r="AG52" s="62">
        <v>46418</v>
      </c>
      <c r="AH52" s="63">
        <v>2027</v>
      </c>
      <c r="AI52" s="63">
        <v>190.23</v>
      </c>
      <c r="AJ52" s="63">
        <v>170.38</v>
      </c>
      <c r="AK52" s="63"/>
      <c r="AL52" s="63">
        <v>19.850000000000001</v>
      </c>
      <c r="AM52" s="94" t="s">
        <v>1104</v>
      </c>
      <c r="AN52" s="45"/>
      <c r="AO52" s="45"/>
      <c r="AP52" s="45"/>
      <c r="AQ52" s="45"/>
      <c r="AR52" s="45"/>
    </row>
    <row r="53" spans="1:44" ht="60">
      <c r="A53" s="297"/>
      <c r="B53" s="189" t="s">
        <v>1085</v>
      </c>
      <c r="C53" s="190">
        <v>46446</v>
      </c>
      <c r="D53" s="191">
        <v>2027</v>
      </c>
      <c r="E53" s="192">
        <v>190.23</v>
      </c>
      <c r="F53" s="192">
        <v>170.85</v>
      </c>
      <c r="G53" s="192"/>
      <c r="H53" s="193">
        <v>19.38</v>
      </c>
      <c r="I53" s="170">
        <v>10</v>
      </c>
      <c r="J53" s="160">
        <f t="shared" ca="1" si="6"/>
        <v>46446</v>
      </c>
      <c r="K53" s="164">
        <f t="shared" ca="1" si="5"/>
        <v>2027</v>
      </c>
      <c r="L53" s="165">
        <f t="shared" ca="1" si="7"/>
        <v>190.23</v>
      </c>
      <c r="M53" s="165">
        <f t="shared" ca="1" si="8"/>
        <v>170.85</v>
      </c>
      <c r="N53" s="165">
        <f>0</f>
        <v>0</v>
      </c>
      <c r="O53" s="171">
        <f t="shared" ca="1" si="9"/>
        <v>19.38</v>
      </c>
      <c r="P53" s="145">
        <v>10</v>
      </c>
      <c r="Q53" s="74">
        <v>46446</v>
      </c>
      <c r="R53" s="75">
        <v>2027</v>
      </c>
      <c r="S53" s="75">
        <v>190.23</v>
      </c>
      <c r="T53" s="75">
        <v>170.85</v>
      </c>
      <c r="U53" s="63"/>
      <c r="V53" s="75">
        <v>19.38</v>
      </c>
      <c r="W53" s="76" t="s">
        <v>1104</v>
      </c>
      <c r="X53" s="90">
        <v>10</v>
      </c>
      <c r="Y53" s="91">
        <v>46446</v>
      </c>
      <c r="Z53" s="92">
        <v>2027</v>
      </c>
      <c r="AA53" s="129">
        <v>190.3</v>
      </c>
      <c r="AB53" s="129">
        <v>170.92</v>
      </c>
      <c r="AC53" s="92"/>
      <c r="AD53" s="130">
        <v>19.38</v>
      </c>
      <c r="AE53" s="128" t="s">
        <v>1104</v>
      </c>
      <c r="AF53" s="61">
        <v>10</v>
      </c>
      <c r="AG53" s="62">
        <v>46446</v>
      </c>
      <c r="AH53" s="63">
        <v>2027</v>
      </c>
      <c r="AI53" s="63">
        <v>190.23</v>
      </c>
      <c r="AJ53" s="63">
        <v>170.85</v>
      </c>
      <c r="AK53" s="63"/>
      <c r="AL53" s="63">
        <v>19.38</v>
      </c>
      <c r="AM53" s="94" t="s">
        <v>1104</v>
      </c>
      <c r="AN53" s="45"/>
      <c r="AO53" s="45"/>
      <c r="AP53" s="45"/>
      <c r="AQ53" s="45"/>
      <c r="AR53" s="45"/>
    </row>
    <row r="54" spans="1:44" ht="60">
      <c r="A54" s="297"/>
      <c r="B54" s="189" t="s">
        <v>1086</v>
      </c>
      <c r="C54" s="190">
        <v>46477</v>
      </c>
      <c r="D54" s="191">
        <v>2027</v>
      </c>
      <c r="E54" s="192">
        <v>190.23</v>
      </c>
      <c r="F54" s="192">
        <v>171.33</v>
      </c>
      <c r="G54" s="192"/>
      <c r="H54" s="193">
        <v>18.899999999999999</v>
      </c>
      <c r="I54" s="170">
        <v>11</v>
      </c>
      <c r="J54" s="160">
        <f t="shared" ca="1" si="6"/>
        <v>46477</v>
      </c>
      <c r="K54" s="164">
        <f t="shared" ca="1" si="5"/>
        <v>2027</v>
      </c>
      <c r="L54" s="165">
        <f t="shared" ca="1" si="7"/>
        <v>190.23</v>
      </c>
      <c r="M54" s="165">
        <f t="shared" ca="1" si="8"/>
        <v>171.33</v>
      </c>
      <c r="N54" s="165">
        <f>0</f>
        <v>0</v>
      </c>
      <c r="O54" s="171">
        <f t="shared" ca="1" si="9"/>
        <v>18.899999999999999</v>
      </c>
      <c r="P54" s="145">
        <v>11</v>
      </c>
      <c r="Q54" s="74">
        <v>46477</v>
      </c>
      <c r="R54" s="75">
        <v>2027</v>
      </c>
      <c r="S54" s="75">
        <v>190.23</v>
      </c>
      <c r="T54" s="75">
        <v>171.33</v>
      </c>
      <c r="U54" s="63"/>
      <c r="V54" s="75">
        <v>18.899999999999999</v>
      </c>
      <c r="W54" s="76" t="s">
        <v>1104</v>
      </c>
      <c r="X54" s="90">
        <v>11</v>
      </c>
      <c r="Y54" s="91">
        <v>46477</v>
      </c>
      <c r="Z54" s="92">
        <v>2027</v>
      </c>
      <c r="AA54" s="129">
        <v>190.3</v>
      </c>
      <c r="AB54" s="129">
        <v>171.4</v>
      </c>
      <c r="AC54" s="92"/>
      <c r="AD54" s="130">
        <v>18.899999999999999</v>
      </c>
      <c r="AE54" s="128" t="s">
        <v>1104</v>
      </c>
      <c r="AF54" s="61">
        <v>11</v>
      </c>
      <c r="AG54" s="62">
        <v>46477</v>
      </c>
      <c r="AH54" s="63">
        <v>2027</v>
      </c>
      <c r="AI54" s="63">
        <v>190.23</v>
      </c>
      <c r="AJ54" s="63">
        <v>171.33</v>
      </c>
      <c r="AK54" s="63"/>
      <c r="AL54" s="63">
        <v>18.899999999999999</v>
      </c>
      <c r="AM54" s="94" t="s">
        <v>1104</v>
      </c>
      <c r="AN54" s="45"/>
      <c r="AO54" s="45"/>
      <c r="AP54" s="45"/>
      <c r="AQ54" s="45"/>
      <c r="AR54" s="45"/>
    </row>
    <row r="55" spans="1:44" ht="60">
      <c r="A55" s="297"/>
      <c r="B55" s="189" t="s">
        <v>1087</v>
      </c>
      <c r="C55" s="190">
        <v>46507</v>
      </c>
      <c r="D55" s="191">
        <v>2027</v>
      </c>
      <c r="E55" s="192">
        <v>190.23</v>
      </c>
      <c r="F55" s="192">
        <v>171.8</v>
      </c>
      <c r="G55" s="192"/>
      <c r="H55" s="193">
        <v>18.43</v>
      </c>
      <c r="I55" s="170">
        <v>12</v>
      </c>
      <c r="J55" s="160">
        <f t="shared" ca="1" si="6"/>
        <v>46507</v>
      </c>
      <c r="K55" s="164">
        <f t="shared" ca="1" si="5"/>
        <v>2027</v>
      </c>
      <c r="L55" s="165">
        <f t="shared" ca="1" si="7"/>
        <v>190.23</v>
      </c>
      <c r="M55" s="165">
        <f t="shared" ca="1" si="8"/>
        <v>171.8</v>
      </c>
      <c r="N55" s="165">
        <f>0</f>
        <v>0</v>
      </c>
      <c r="O55" s="171">
        <f t="shared" ca="1" si="9"/>
        <v>18.43</v>
      </c>
      <c r="P55" s="145">
        <v>12</v>
      </c>
      <c r="Q55" s="74">
        <v>46507</v>
      </c>
      <c r="R55" s="75">
        <v>2027</v>
      </c>
      <c r="S55" s="75">
        <v>190.23</v>
      </c>
      <c r="T55" s="75">
        <v>171.8</v>
      </c>
      <c r="U55" s="63"/>
      <c r="V55" s="75">
        <v>18.43</v>
      </c>
      <c r="W55" s="76" t="s">
        <v>1104</v>
      </c>
      <c r="X55" s="90">
        <v>12</v>
      </c>
      <c r="Y55" s="91">
        <v>46507</v>
      </c>
      <c r="Z55" s="92">
        <v>2027</v>
      </c>
      <c r="AA55" s="129">
        <v>190.3</v>
      </c>
      <c r="AB55" s="129">
        <v>171.87</v>
      </c>
      <c r="AC55" s="92"/>
      <c r="AD55" s="130">
        <v>18.43</v>
      </c>
      <c r="AE55" s="128" t="s">
        <v>1104</v>
      </c>
      <c r="AF55" s="61">
        <v>12</v>
      </c>
      <c r="AG55" s="62">
        <v>46507</v>
      </c>
      <c r="AH55" s="63">
        <v>2027</v>
      </c>
      <c r="AI55" s="63">
        <v>190.23</v>
      </c>
      <c r="AJ55" s="63">
        <v>171.8</v>
      </c>
      <c r="AK55" s="63"/>
      <c r="AL55" s="63">
        <v>18.43</v>
      </c>
      <c r="AM55" s="94" t="s">
        <v>1104</v>
      </c>
      <c r="AN55" s="45"/>
      <c r="AO55" s="45"/>
      <c r="AP55" s="45"/>
      <c r="AQ55" s="45"/>
      <c r="AR55" s="45"/>
    </row>
    <row r="56" spans="1:44" ht="60">
      <c r="A56" s="297"/>
      <c r="B56" s="189" t="s">
        <v>1088</v>
      </c>
      <c r="C56" s="190">
        <v>46538</v>
      </c>
      <c r="D56" s="191">
        <v>2027</v>
      </c>
      <c r="E56" s="192">
        <v>190.23</v>
      </c>
      <c r="F56" s="192">
        <v>172.28</v>
      </c>
      <c r="G56" s="192"/>
      <c r="H56" s="193">
        <v>17.95</v>
      </c>
      <c r="I56" s="170">
        <v>13</v>
      </c>
      <c r="J56" s="160">
        <f t="shared" ca="1" si="6"/>
        <v>46538</v>
      </c>
      <c r="K56" s="164">
        <f t="shared" ca="1" si="5"/>
        <v>2027</v>
      </c>
      <c r="L56" s="165">
        <f t="shared" ca="1" si="7"/>
        <v>190.23</v>
      </c>
      <c r="M56" s="165">
        <f t="shared" ca="1" si="8"/>
        <v>172.28</v>
      </c>
      <c r="N56" s="165">
        <f>0</f>
        <v>0</v>
      </c>
      <c r="O56" s="171">
        <f t="shared" ca="1" si="9"/>
        <v>17.95</v>
      </c>
      <c r="P56" s="145">
        <v>13</v>
      </c>
      <c r="Q56" s="74">
        <v>46538</v>
      </c>
      <c r="R56" s="75">
        <v>2027</v>
      </c>
      <c r="S56" s="75">
        <v>190.23</v>
      </c>
      <c r="T56" s="75">
        <v>172.28</v>
      </c>
      <c r="U56" s="63"/>
      <c r="V56" s="75">
        <v>17.95</v>
      </c>
      <c r="W56" s="76" t="s">
        <v>1104</v>
      </c>
      <c r="X56" s="90">
        <v>13</v>
      </c>
      <c r="Y56" s="91">
        <v>46538</v>
      </c>
      <c r="Z56" s="92">
        <v>2027</v>
      </c>
      <c r="AA56" s="129">
        <v>190.3</v>
      </c>
      <c r="AB56" s="129">
        <v>172.35</v>
      </c>
      <c r="AC56" s="92"/>
      <c r="AD56" s="130">
        <v>17.95</v>
      </c>
      <c r="AE56" s="128" t="s">
        <v>1104</v>
      </c>
      <c r="AF56" s="61">
        <v>13</v>
      </c>
      <c r="AG56" s="62">
        <v>46538</v>
      </c>
      <c r="AH56" s="63">
        <v>2027</v>
      </c>
      <c r="AI56" s="63">
        <v>190.23</v>
      </c>
      <c r="AJ56" s="63">
        <v>172.28</v>
      </c>
      <c r="AK56" s="63"/>
      <c r="AL56" s="63">
        <v>17.95</v>
      </c>
      <c r="AM56" s="94" t="s">
        <v>1104</v>
      </c>
      <c r="AN56" s="45"/>
      <c r="AO56" s="45"/>
      <c r="AP56" s="45"/>
      <c r="AQ56" s="45"/>
      <c r="AR56" s="45"/>
    </row>
    <row r="57" spans="1:44" ht="60">
      <c r="A57" s="297"/>
      <c r="B57" s="189" t="s">
        <v>1089</v>
      </c>
      <c r="C57" s="190">
        <v>46568</v>
      </c>
      <c r="D57" s="191">
        <v>2027</v>
      </c>
      <c r="E57" s="192">
        <v>190.23</v>
      </c>
      <c r="F57" s="192">
        <v>172.76</v>
      </c>
      <c r="G57" s="192"/>
      <c r="H57" s="193">
        <v>17.47</v>
      </c>
      <c r="I57" s="170">
        <v>14</v>
      </c>
      <c r="J57" s="160">
        <f t="shared" ca="1" si="6"/>
        <v>46568</v>
      </c>
      <c r="K57" s="164">
        <f t="shared" ca="1" si="5"/>
        <v>2027</v>
      </c>
      <c r="L57" s="165">
        <f t="shared" ca="1" si="7"/>
        <v>190.23</v>
      </c>
      <c r="M57" s="165">
        <f t="shared" ca="1" si="8"/>
        <v>172.76</v>
      </c>
      <c r="N57" s="165">
        <f>0</f>
        <v>0</v>
      </c>
      <c r="O57" s="171">
        <f t="shared" ca="1" si="9"/>
        <v>17.47</v>
      </c>
      <c r="P57" s="145">
        <v>14</v>
      </c>
      <c r="Q57" s="74">
        <v>46568</v>
      </c>
      <c r="R57" s="75">
        <v>2027</v>
      </c>
      <c r="S57" s="75">
        <v>190.23</v>
      </c>
      <c r="T57" s="75">
        <v>172.76</v>
      </c>
      <c r="U57" s="63"/>
      <c r="V57" s="75">
        <v>17.47</v>
      </c>
      <c r="W57" s="76" t="s">
        <v>1104</v>
      </c>
      <c r="X57" s="90">
        <v>14</v>
      </c>
      <c r="Y57" s="91">
        <v>46568</v>
      </c>
      <c r="Z57" s="92">
        <v>2027</v>
      </c>
      <c r="AA57" s="129">
        <v>190.3</v>
      </c>
      <c r="AB57" s="129">
        <v>172.83</v>
      </c>
      <c r="AC57" s="92"/>
      <c r="AD57" s="130">
        <v>17.47</v>
      </c>
      <c r="AE57" s="128" t="s">
        <v>1104</v>
      </c>
      <c r="AF57" s="61">
        <v>14</v>
      </c>
      <c r="AG57" s="62">
        <v>46568</v>
      </c>
      <c r="AH57" s="63">
        <v>2027</v>
      </c>
      <c r="AI57" s="63">
        <v>190.23</v>
      </c>
      <c r="AJ57" s="63">
        <v>172.76</v>
      </c>
      <c r="AK57" s="63"/>
      <c r="AL57" s="63">
        <v>17.47</v>
      </c>
      <c r="AM57" s="94" t="s">
        <v>1104</v>
      </c>
      <c r="AN57" s="45"/>
      <c r="AO57" s="45"/>
      <c r="AP57" s="45"/>
      <c r="AQ57" s="45"/>
      <c r="AR57" s="45"/>
    </row>
    <row r="58" spans="1:44" ht="60">
      <c r="A58" s="297"/>
      <c r="B58" s="189" t="s">
        <v>1090</v>
      </c>
      <c r="C58" s="190">
        <v>46599</v>
      </c>
      <c r="D58" s="191">
        <v>2027</v>
      </c>
      <c r="E58" s="192">
        <v>190.23</v>
      </c>
      <c r="F58" s="192">
        <v>173.23</v>
      </c>
      <c r="G58" s="192"/>
      <c r="H58" s="193">
        <v>17</v>
      </c>
      <c r="I58" s="170">
        <v>15</v>
      </c>
      <c r="J58" s="160">
        <f t="shared" ca="1" si="6"/>
        <v>46599</v>
      </c>
      <c r="K58" s="164">
        <f t="shared" ca="1" si="5"/>
        <v>2027</v>
      </c>
      <c r="L58" s="165">
        <f t="shared" ca="1" si="7"/>
        <v>190.23</v>
      </c>
      <c r="M58" s="165">
        <f t="shared" ca="1" si="8"/>
        <v>173.23</v>
      </c>
      <c r="N58" s="165">
        <f>0</f>
        <v>0</v>
      </c>
      <c r="O58" s="171">
        <f t="shared" ca="1" si="9"/>
        <v>17</v>
      </c>
      <c r="P58" s="145">
        <v>15</v>
      </c>
      <c r="Q58" s="74">
        <v>46599</v>
      </c>
      <c r="R58" s="75">
        <v>2027</v>
      </c>
      <c r="S58" s="75">
        <v>190.23</v>
      </c>
      <c r="T58" s="75">
        <v>173.23</v>
      </c>
      <c r="U58" s="63"/>
      <c r="V58" s="75">
        <v>17</v>
      </c>
      <c r="W58" s="76" t="s">
        <v>1104</v>
      </c>
      <c r="X58" s="90">
        <v>15</v>
      </c>
      <c r="Y58" s="91">
        <v>46599</v>
      </c>
      <c r="Z58" s="92">
        <v>2027</v>
      </c>
      <c r="AA58" s="129">
        <v>190.3</v>
      </c>
      <c r="AB58" s="129">
        <v>173.31</v>
      </c>
      <c r="AC58" s="92"/>
      <c r="AD58" s="131">
        <v>16.989999999999998</v>
      </c>
      <c r="AE58" s="128" t="s">
        <v>1104</v>
      </c>
      <c r="AF58" s="61">
        <v>15</v>
      </c>
      <c r="AG58" s="62">
        <v>46599</v>
      </c>
      <c r="AH58" s="63">
        <v>2027</v>
      </c>
      <c r="AI58" s="63">
        <v>190.23</v>
      </c>
      <c r="AJ58" s="63">
        <v>173.23</v>
      </c>
      <c r="AK58" s="63"/>
      <c r="AL58" s="63">
        <v>17</v>
      </c>
      <c r="AM58" s="94" t="s">
        <v>1104</v>
      </c>
      <c r="AN58" s="45"/>
      <c r="AO58" s="45"/>
      <c r="AP58" s="45"/>
      <c r="AQ58" s="45"/>
      <c r="AR58" s="45"/>
    </row>
    <row r="59" spans="1:44" ht="60">
      <c r="A59" s="297"/>
      <c r="B59" s="189" t="s">
        <v>1091</v>
      </c>
      <c r="C59" s="190">
        <v>46630</v>
      </c>
      <c r="D59" s="191">
        <v>2027</v>
      </c>
      <c r="E59" s="192">
        <v>190.23</v>
      </c>
      <c r="F59" s="192">
        <v>173.72</v>
      </c>
      <c r="G59" s="192"/>
      <c r="H59" s="193">
        <v>16.510000000000002</v>
      </c>
      <c r="I59" s="170">
        <v>16</v>
      </c>
      <c r="J59" s="160">
        <f t="shared" ca="1" si="6"/>
        <v>46630</v>
      </c>
      <c r="K59" s="164">
        <f t="shared" ca="1" si="5"/>
        <v>2027</v>
      </c>
      <c r="L59" s="165">
        <f t="shared" ca="1" si="7"/>
        <v>190.23</v>
      </c>
      <c r="M59" s="165">
        <f t="shared" ca="1" si="8"/>
        <v>173.72</v>
      </c>
      <c r="N59" s="165">
        <f>0</f>
        <v>0</v>
      </c>
      <c r="O59" s="171">
        <f t="shared" ca="1" si="9"/>
        <v>16.510000000000002</v>
      </c>
      <c r="P59" s="145">
        <v>16</v>
      </c>
      <c r="Q59" s="74">
        <v>46630</v>
      </c>
      <c r="R59" s="75">
        <v>2027</v>
      </c>
      <c r="S59" s="75">
        <v>190.23</v>
      </c>
      <c r="T59" s="75">
        <v>173.72</v>
      </c>
      <c r="U59" s="63"/>
      <c r="V59" s="75">
        <v>16.510000000000002</v>
      </c>
      <c r="W59" s="76" t="s">
        <v>1104</v>
      </c>
      <c r="X59" s="90">
        <v>16</v>
      </c>
      <c r="Y59" s="91">
        <v>46630</v>
      </c>
      <c r="Z59" s="92">
        <v>2027</v>
      </c>
      <c r="AA59" s="129">
        <v>190.3</v>
      </c>
      <c r="AB59" s="129">
        <v>173.79</v>
      </c>
      <c r="AC59" s="92"/>
      <c r="AD59" s="130">
        <v>16.510000000000002</v>
      </c>
      <c r="AE59" s="128" t="s">
        <v>1104</v>
      </c>
      <c r="AF59" s="61">
        <v>16</v>
      </c>
      <c r="AG59" s="62">
        <v>46630</v>
      </c>
      <c r="AH59" s="63">
        <v>2027</v>
      </c>
      <c r="AI59" s="63">
        <v>190.23</v>
      </c>
      <c r="AJ59" s="63">
        <v>173.72</v>
      </c>
      <c r="AK59" s="63"/>
      <c r="AL59" s="63">
        <v>16.510000000000002</v>
      </c>
      <c r="AM59" s="94" t="s">
        <v>1104</v>
      </c>
      <c r="AN59" s="45"/>
      <c r="AO59" s="45"/>
      <c r="AP59" s="45"/>
      <c r="AQ59" s="45"/>
      <c r="AR59" s="45"/>
    </row>
    <row r="60" spans="1:44" ht="60">
      <c r="A60" s="297"/>
      <c r="B60" s="189" t="s">
        <v>1092</v>
      </c>
      <c r="C60" s="190">
        <v>46660</v>
      </c>
      <c r="D60" s="191">
        <v>2027</v>
      </c>
      <c r="E60" s="192">
        <v>190.23</v>
      </c>
      <c r="F60" s="192">
        <v>174.2</v>
      </c>
      <c r="G60" s="192"/>
      <c r="H60" s="193">
        <v>16.03</v>
      </c>
      <c r="I60" s="170">
        <v>17</v>
      </c>
      <c r="J60" s="160">
        <f t="shared" ca="1" si="6"/>
        <v>46660</v>
      </c>
      <c r="K60" s="164">
        <f t="shared" ca="1" si="5"/>
        <v>2027</v>
      </c>
      <c r="L60" s="165">
        <f t="shared" ca="1" si="7"/>
        <v>190.23</v>
      </c>
      <c r="M60" s="165">
        <f t="shared" ca="1" si="8"/>
        <v>174.2</v>
      </c>
      <c r="N60" s="165">
        <f>0</f>
        <v>0</v>
      </c>
      <c r="O60" s="171">
        <f t="shared" ca="1" si="9"/>
        <v>16.03</v>
      </c>
      <c r="P60" s="145">
        <v>17</v>
      </c>
      <c r="Q60" s="74">
        <v>46660</v>
      </c>
      <c r="R60" s="75">
        <v>2027</v>
      </c>
      <c r="S60" s="75">
        <v>190.23</v>
      </c>
      <c r="T60" s="75">
        <v>174.2</v>
      </c>
      <c r="U60" s="63"/>
      <c r="V60" s="75">
        <v>16.03</v>
      </c>
      <c r="W60" s="76" t="s">
        <v>1104</v>
      </c>
      <c r="X60" s="90">
        <v>17</v>
      </c>
      <c r="Y60" s="91">
        <v>46660</v>
      </c>
      <c r="Z60" s="92">
        <v>2027</v>
      </c>
      <c r="AA60" s="129">
        <v>190.3</v>
      </c>
      <c r="AB60" s="129">
        <v>174.27</v>
      </c>
      <c r="AC60" s="92"/>
      <c r="AD60" s="130">
        <v>16.03</v>
      </c>
      <c r="AE60" s="128" t="s">
        <v>1104</v>
      </c>
      <c r="AF60" s="61">
        <v>17</v>
      </c>
      <c r="AG60" s="62">
        <v>46660</v>
      </c>
      <c r="AH60" s="63">
        <v>2027</v>
      </c>
      <c r="AI60" s="63">
        <v>190.23</v>
      </c>
      <c r="AJ60" s="63">
        <v>174.2</v>
      </c>
      <c r="AK60" s="63"/>
      <c r="AL60" s="63">
        <v>16.03</v>
      </c>
      <c r="AM60" s="94" t="s">
        <v>1104</v>
      </c>
      <c r="AN60" s="45"/>
      <c r="AO60" s="45"/>
      <c r="AP60" s="45"/>
      <c r="AQ60" s="45"/>
      <c r="AR60" s="45"/>
    </row>
    <row r="61" spans="1:44" ht="60">
      <c r="A61" s="297"/>
      <c r="B61" s="189" t="s">
        <v>1093</v>
      </c>
      <c r="C61" s="190">
        <v>46691</v>
      </c>
      <c r="D61" s="191">
        <v>2027</v>
      </c>
      <c r="E61" s="192">
        <v>190.23</v>
      </c>
      <c r="F61" s="192">
        <v>174.68</v>
      </c>
      <c r="G61" s="192"/>
      <c r="H61" s="193">
        <v>15.55</v>
      </c>
      <c r="I61" s="170">
        <v>18</v>
      </c>
      <c r="J61" s="160">
        <f t="shared" ca="1" si="6"/>
        <v>46691</v>
      </c>
      <c r="K61" s="164">
        <f t="shared" ca="1" si="5"/>
        <v>2027</v>
      </c>
      <c r="L61" s="165">
        <f t="shared" ca="1" si="7"/>
        <v>190.23</v>
      </c>
      <c r="M61" s="165">
        <f t="shared" ca="1" si="8"/>
        <v>174.68</v>
      </c>
      <c r="N61" s="165">
        <f>0</f>
        <v>0</v>
      </c>
      <c r="O61" s="171">
        <f t="shared" ca="1" si="9"/>
        <v>15.55</v>
      </c>
      <c r="P61" s="145">
        <v>18</v>
      </c>
      <c r="Q61" s="74">
        <v>46691</v>
      </c>
      <c r="R61" s="75">
        <v>2027</v>
      </c>
      <c r="S61" s="75">
        <v>190.23</v>
      </c>
      <c r="T61" s="75">
        <v>174.68</v>
      </c>
      <c r="U61" s="63"/>
      <c r="V61" s="75">
        <v>15.55</v>
      </c>
      <c r="W61" s="76" t="s">
        <v>1104</v>
      </c>
      <c r="X61" s="90">
        <v>18</v>
      </c>
      <c r="Y61" s="91">
        <v>46691</v>
      </c>
      <c r="Z61" s="92">
        <v>2027</v>
      </c>
      <c r="AA61" s="129">
        <v>190.3</v>
      </c>
      <c r="AB61" s="129">
        <v>174.75</v>
      </c>
      <c r="AC61" s="92"/>
      <c r="AD61" s="130">
        <v>15.55</v>
      </c>
      <c r="AE61" s="128" t="s">
        <v>1104</v>
      </c>
      <c r="AF61" s="61">
        <v>18</v>
      </c>
      <c r="AG61" s="62">
        <v>46691</v>
      </c>
      <c r="AH61" s="63">
        <v>2027</v>
      </c>
      <c r="AI61" s="63">
        <v>190.23</v>
      </c>
      <c r="AJ61" s="63">
        <v>174.68</v>
      </c>
      <c r="AK61" s="63"/>
      <c r="AL61" s="63">
        <v>15.55</v>
      </c>
      <c r="AM61" s="94" t="s">
        <v>1104</v>
      </c>
      <c r="AN61" s="45"/>
      <c r="AO61" s="45"/>
      <c r="AP61" s="45"/>
      <c r="AQ61" s="45"/>
      <c r="AR61" s="45"/>
    </row>
    <row r="62" spans="1:44" ht="60">
      <c r="A62" s="297"/>
      <c r="B62" s="189" t="s">
        <v>1094</v>
      </c>
      <c r="C62" s="190">
        <v>46721</v>
      </c>
      <c r="D62" s="191">
        <v>2027</v>
      </c>
      <c r="E62" s="192">
        <v>190.23</v>
      </c>
      <c r="F62" s="192">
        <v>175.17</v>
      </c>
      <c r="G62" s="192"/>
      <c r="H62" s="193">
        <v>15.06</v>
      </c>
      <c r="I62" s="170">
        <v>19</v>
      </c>
      <c r="J62" s="160">
        <f t="shared" ca="1" si="6"/>
        <v>46721</v>
      </c>
      <c r="K62" s="164">
        <f t="shared" ca="1" si="5"/>
        <v>2027</v>
      </c>
      <c r="L62" s="165">
        <f t="shared" ca="1" si="7"/>
        <v>190.23</v>
      </c>
      <c r="M62" s="165">
        <f t="shared" ca="1" si="8"/>
        <v>175.17</v>
      </c>
      <c r="N62" s="165">
        <f>0</f>
        <v>0</v>
      </c>
      <c r="O62" s="171">
        <f t="shared" ca="1" si="9"/>
        <v>15.06</v>
      </c>
      <c r="P62" s="145">
        <v>19</v>
      </c>
      <c r="Q62" s="74">
        <v>46721</v>
      </c>
      <c r="R62" s="75">
        <v>2027</v>
      </c>
      <c r="S62" s="75">
        <v>190.23</v>
      </c>
      <c r="T62" s="75">
        <v>175.17</v>
      </c>
      <c r="U62" s="63"/>
      <c r="V62" s="75">
        <v>15.06</v>
      </c>
      <c r="W62" s="76" t="s">
        <v>1104</v>
      </c>
      <c r="X62" s="90">
        <v>19</v>
      </c>
      <c r="Y62" s="91">
        <v>46721</v>
      </c>
      <c r="Z62" s="92">
        <v>2027</v>
      </c>
      <c r="AA62" s="129">
        <v>190.3</v>
      </c>
      <c r="AB62" s="129">
        <v>175.24</v>
      </c>
      <c r="AC62" s="92"/>
      <c r="AD62" s="130">
        <v>15.06</v>
      </c>
      <c r="AE62" s="128" t="s">
        <v>1104</v>
      </c>
      <c r="AF62" s="61">
        <v>19</v>
      </c>
      <c r="AG62" s="62">
        <v>46721</v>
      </c>
      <c r="AH62" s="63">
        <v>2027</v>
      </c>
      <c r="AI62" s="63">
        <v>190.23</v>
      </c>
      <c r="AJ62" s="63">
        <v>175.17</v>
      </c>
      <c r="AK62" s="63"/>
      <c r="AL62" s="63">
        <v>15.06</v>
      </c>
      <c r="AM62" s="94" t="s">
        <v>1104</v>
      </c>
      <c r="AN62" s="45"/>
      <c r="AO62" s="45"/>
      <c r="AP62" s="45"/>
      <c r="AQ62" s="45"/>
      <c r="AR62" s="45"/>
    </row>
    <row r="63" spans="1:44" ht="60">
      <c r="A63" s="297"/>
      <c r="B63" s="189" t="s">
        <v>1095</v>
      </c>
      <c r="C63" s="190">
        <v>46752</v>
      </c>
      <c r="D63" s="191">
        <v>2027</v>
      </c>
      <c r="E63" s="192">
        <v>190.23</v>
      </c>
      <c r="F63" s="192">
        <v>175.65</v>
      </c>
      <c r="G63" s="192"/>
      <c r="H63" s="193">
        <v>14.58</v>
      </c>
      <c r="I63" s="170">
        <v>20</v>
      </c>
      <c r="J63" s="160">
        <f t="shared" ca="1" si="6"/>
        <v>46752</v>
      </c>
      <c r="K63" s="164">
        <f t="shared" ca="1" si="5"/>
        <v>2027</v>
      </c>
      <c r="L63" s="165">
        <f t="shared" ca="1" si="7"/>
        <v>190.23</v>
      </c>
      <c r="M63" s="165">
        <f t="shared" ca="1" si="8"/>
        <v>175.65</v>
      </c>
      <c r="N63" s="165">
        <f>0</f>
        <v>0</v>
      </c>
      <c r="O63" s="171">
        <f t="shared" ca="1" si="9"/>
        <v>14.58</v>
      </c>
      <c r="P63" s="145">
        <v>20</v>
      </c>
      <c r="Q63" s="74">
        <v>46752</v>
      </c>
      <c r="R63" s="75">
        <v>2027</v>
      </c>
      <c r="S63" s="75">
        <v>190.23</v>
      </c>
      <c r="T63" s="75">
        <v>175.65</v>
      </c>
      <c r="U63" s="63"/>
      <c r="V63" s="75">
        <v>14.58</v>
      </c>
      <c r="W63" s="76" t="s">
        <v>1104</v>
      </c>
      <c r="X63" s="90">
        <v>20</v>
      </c>
      <c r="Y63" s="91">
        <v>46752</v>
      </c>
      <c r="Z63" s="92">
        <v>2027</v>
      </c>
      <c r="AA63" s="129">
        <v>190.3</v>
      </c>
      <c r="AB63" s="129">
        <v>175.73</v>
      </c>
      <c r="AC63" s="92"/>
      <c r="AD63" s="131">
        <v>14.57</v>
      </c>
      <c r="AE63" s="128" t="s">
        <v>1104</v>
      </c>
      <c r="AF63" s="61">
        <v>20</v>
      </c>
      <c r="AG63" s="62">
        <v>46752</v>
      </c>
      <c r="AH63" s="63">
        <v>2027</v>
      </c>
      <c r="AI63" s="63">
        <v>190.23</v>
      </c>
      <c r="AJ63" s="63">
        <v>175.65</v>
      </c>
      <c r="AK63" s="63"/>
      <c r="AL63" s="63">
        <v>14.58</v>
      </c>
      <c r="AM63" s="94" t="s">
        <v>1104</v>
      </c>
      <c r="AN63" s="45"/>
      <c r="AO63" s="45"/>
      <c r="AP63" s="45"/>
      <c r="AQ63" s="45"/>
      <c r="AR63" s="45"/>
    </row>
    <row r="64" spans="1:44" ht="60">
      <c r="A64" s="297"/>
      <c r="B64" s="189" t="s">
        <v>1096</v>
      </c>
      <c r="C64" s="190">
        <v>46783</v>
      </c>
      <c r="D64" s="191">
        <v>2028</v>
      </c>
      <c r="E64" s="192">
        <v>190.23</v>
      </c>
      <c r="F64" s="192">
        <v>176.14</v>
      </c>
      <c r="G64" s="192"/>
      <c r="H64" s="193">
        <v>14.09</v>
      </c>
      <c r="I64" s="170">
        <v>21</v>
      </c>
      <c r="J64" s="160">
        <f t="shared" ca="1" si="6"/>
        <v>46783</v>
      </c>
      <c r="K64" s="164">
        <f t="shared" ca="1" si="5"/>
        <v>2028</v>
      </c>
      <c r="L64" s="165">
        <f t="shared" ca="1" si="7"/>
        <v>190.23</v>
      </c>
      <c r="M64" s="165">
        <f t="shared" ca="1" si="8"/>
        <v>176.14</v>
      </c>
      <c r="N64" s="165">
        <f>0</f>
        <v>0</v>
      </c>
      <c r="O64" s="171">
        <f t="shared" ca="1" si="9"/>
        <v>14.09</v>
      </c>
      <c r="P64" s="145">
        <v>21</v>
      </c>
      <c r="Q64" s="74">
        <v>46783</v>
      </c>
      <c r="R64" s="75">
        <v>2028</v>
      </c>
      <c r="S64" s="75">
        <v>190.23</v>
      </c>
      <c r="T64" s="75">
        <v>176.14</v>
      </c>
      <c r="U64" s="63"/>
      <c r="V64" s="75">
        <v>14.09</v>
      </c>
      <c r="W64" s="76" t="s">
        <v>1104</v>
      </c>
      <c r="X64" s="90">
        <v>21</v>
      </c>
      <c r="Y64" s="91">
        <v>46783</v>
      </c>
      <c r="Z64" s="92">
        <v>2028</v>
      </c>
      <c r="AA64" s="129">
        <v>190.3</v>
      </c>
      <c r="AB64" s="129">
        <v>176.21</v>
      </c>
      <c r="AC64" s="92"/>
      <c r="AD64" s="130">
        <v>14.09</v>
      </c>
      <c r="AE64" s="128" t="s">
        <v>1104</v>
      </c>
      <c r="AF64" s="61">
        <v>21</v>
      </c>
      <c r="AG64" s="62">
        <v>46783</v>
      </c>
      <c r="AH64" s="63">
        <v>2028</v>
      </c>
      <c r="AI64" s="63">
        <v>190.23</v>
      </c>
      <c r="AJ64" s="63">
        <v>176.14</v>
      </c>
      <c r="AK64" s="63"/>
      <c r="AL64" s="63">
        <v>14.09</v>
      </c>
      <c r="AM64" s="94" t="s">
        <v>1104</v>
      </c>
      <c r="AN64" s="45"/>
      <c r="AO64" s="45"/>
      <c r="AP64" s="45"/>
      <c r="AQ64" s="45"/>
      <c r="AR64" s="45"/>
    </row>
    <row r="65" spans="1:44" ht="60">
      <c r="A65" s="297"/>
      <c r="B65" s="189" t="s">
        <v>1097</v>
      </c>
      <c r="C65" s="190">
        <v>46812</v>
      </c>
      <c r="D65" s="191">
        <v>2028</v>
      </c>
      <c r="E65" s="192">
        <v>190.23</v>
      </c>
      <c r="F65" s="192">
        <v>176.63</v>
      </c>
      <c r="G65" s="192"/>
      <c r="H65" s="193">
        <v>13.6</v>
      </c>
      <c r="I65" s="170">
        <v>22</v>
      </c>
      <c r="J65" s="160">
        <f ca="1">EOMONTH($M$58,I65)</f>
        <v>46812</v>
      </c>
      <c r="K65" s="164">
        <f t="shared" ca="1" si="5"/>
        <v>2028</v>
      </c>
      <c r="L65" s="165">
        <f t="shared" ca="1" si="7"/>
        <v>190.23</v>
      </c>
      <c r="M65" s="165">
        <f t="shared" ca="1" si="8"/>
        <v>176.63</v>
      </c>
      <c r="N65" s="165">
        <f>0</f>
        <v>0</v>
      </c>
      <c r="O65" s="171">
        <f t="shared" ca="1" si="9"/>
        <v>13.6</v>
      </c>
      <c r="P65" s="145">
        <v>22</v>
      </c>
      <c r="Q65" s="74">
        <v>46812</v>
      </c>
      <c r="R65" s="75">
        <v>2028</v>
      </c>
      <c r="S65" s="75">
        <v>190.23</v>
      </c>
      <c r="T65" s="75">
        <v>176.63</v>
      </c>
      <c r="U65" s="63"/>
      <c r="V65" s="75">
        <v>13.6</v>
      </c>
      <c r="W65" s="76" t="s">
        <v>1104</v>
      </c>
      <c r="X65" s="90">
        <v>22</v>
      </c>
      <c r="Y65" s="91">
        <v>46812</v>
      </c>
      <c r="Z65" s="92">
        <v>2028</v>
      </c>
      <c r="AA65" s="129">
        <v>190.3</v>
      </c>
      <c r="AB65" s="129">
        <v>176.7</v>
      </c>
      <c r="AC65" s="92"/>
      <c r="AD65" s="130">
        <v>13.6</v>
      </c>
      <c r="AE65" s="128" t="s">
        <v>1104</v>
      </c>
      <c r="AF65" s="61">
        <v>22</v>
      </c>
      <c r="AG65" s="62">
        <v>46812</v>
      </c>
      <c r="AH65" s="63">
        <v>2028</v>
      </c>
      <c r="AI65" s="63">
        <v>190.23</v>
      </c>
      <c r="AJ65" s="63">
        <v>176.63</v>
      </c>
      <c r="AK65" s="63"/>
      <c r="AL65" s="63">
        <v>13.6</v>
      </c>
      <c r="AM65" s="94" t="s">
        <v>1104</v>
      </c>
      <c r="AN65" s="45"/>
      <c r="AO65" s="45"/>
      <c r="AP65" s="45"/>
      <c r="AQ65" s="45"/>
      <c r="AR65" s="45"/>
    </row>
    <row r="66" spans="1:44" ht="60">
      <c r="A66" s="297"/>
      <c r="B66" s="189" t="s">
        <v>1098</v>
      </c>
      <c r="C66" s="190">
        <v>46843</v>
      </c>
      <c r="D66" s="191">
        <v>2028</v>
      </c>
      <c r="E66" s="192">
        <v>190.23</v>
      </c>
      <c r="F66" s="192">
        <v>177.12</v>
      </c>
      <c r="G66" s="192"/>
      <c r="H66" s="193">
        <v>13.11</v>
      </c>
      <c r="I66" s="170">
        <v>23</v>
      </c>
      <c r="J66" s="160">
        <f t="shared" ca="1" si="6"/>
        <v>46843</v>
      </c>
      <c r="K66" s="164">
        <f t="shared" ca="1" si="5"/>
        <v>2028</v>
      </c>
      <c r="L66" s="165">
        <f t="shared" ca="1" si="7"/>
        <v>190.23</v>
      </c>
      <c r="M66" s="165">
        <f t="shared" ca="1" si="8"/>
        <v>177.12</v>
      </c>
      <c r="N66" s="165">
        <f>0</f>
        <v>0</v>
      </c>
      <c r="O66" s="171">
        <f t="shared" ca="1" si="9"/>
        <v>13.11</v>
      </c>
      <c r="P66" s="145">
        <v>23</v>
      </c>
      <c r="Q66" s="74">
        <v>46843</v>
      </c>
      <c r="R66" s="75">
        <v>2028</v>
      </c>
      <c r="S66" s="75">
        <v>190.23</v>
      </c>
      <c r="T66" s="75">
        <v>177.12</v>
      </c>
      <c r="U66" s="63"/>
      <c r="V66" s="75">
        <v>13.11</v>
      </c>
      <c r="W66" s="76" t="s">
        <v>1104</v>
      </c>
      <c r="X66" s="90">
        <v>23</v>
      </c>
      <c r="Y66" s="91">
        <v>46843</v>
      </c>
      <c r="Z66" s="92">
        <v>2028</v>
      </c>
      <c r="AA66" s="129">
        <v>190.3</v>
      </c>
      <c r="AB66" s="129">
        <v>177.19</v>
      </c>
      <c r="AC66" s="92"/>
      <c r="AD66" s="130">
        <v>13.11</v>
      </c>
      <c r="AE66" s="128" t="s">
        <v>1104</v>
      </c>
      <c r="AF66" s="61">
        <v>23</v>
      </c>
      <c r="AG66" s="62">
        <v>46843</v>
      </c>
      <c r="AH66" s="63">
        <v>2028</v>
      </c>
      <c r="AI66" s="63">
        <v>190.23</v>
      </c>
      <c r="AJ66" s="63">
        <v>177.12</v>
      </c>
      <c r="AK66" s="63"/>
      <c r="AL66" s="63">
        <v>13.11</v>
      </c>
      <c r="AM66" s="94" t="s">
        <v>1104</v>
      </c>
      <c r="AN66" s="45"/>
      <c r="AO66" s="45"/>
      <c r="AP66" s="45"/>
      <c r="AQ66" s="45"/>
      <c r="AR66" s="45"/>
    </row>
    <row r="67" spans="1:44" ht="60">
      <c r="A67" s="297"/>
      <c r="B67" s="189" t="s">
        <v>1099</v>
      </c>
      <c r="C67" s="190">
        <v>46873</v>
      </c>
      <c r="D67" s="191">
        <v>2028</v>
      </c>
      <c r="E67" s="192">
        <v>190.23</v>
      </c>
      <c r="F67" s="192">
        <v>177.61</v>
      </c>
      <c r="G67" s="192"/>
      <c r="H67" s="193">
        <v>12.62</v>
      </c>
      <c r="I67" s="170">
        <v>24</v>
      </c>
      <c r="J67" s="160">
        <f t="shared" ca="1" si="6"/>
        <v>46873</v>
      </c>
      <c r="K67" s="164">
        <f t="shared" ca="1" si="5"/>
        <v>2028</v>
      </c>
      <c r="L67" s="165">
        <f t="shared" ca="1" si="7"/>
        <v>190.23</v>
      </c>
      <c r="M67" s="165">
        <f t="shared" ca="1" si="8"/>
        <v>177.61</v>
      </c>
      <c r="N67" s="165">
        <f>0</f>
        <v>0</v>
      </c>
      <c r="O67" s="171">
        <f t="shared" ca="1" si="9"/>
        <v>12.62</v>
      </c>
      <c r="P67" s="145">
        <v>24</v>
      </c>
      <c r="Q67" s="74">
        <v>46873</v>
      </c>
      <c r="R67" s="75">
        <v>2028</v>
      </c>
      <c r="S67" s="75">
        <v>190.23</v>
      </c>
      <c r="T67" s="75">
        <v>177.61</v>
      </c>
      <c r="U67" s="63"/>
      <c r="V67" s="75">
        <v>12.62</v>
      </c>
      <c r="W67" s="76" t="s">
        <v>1104</v>
      </c>
      <c r="X67" s="90">
        <v>24</v>
      </c>
      <c r="Y67" s="91">
        <v>46873</v>
      </c>
      <c r="Z67" s="92">
        <v>2028</v>
      </c>
      <c r="AA67" s="129">
        <v>190.3</v>
      </c>
      <c r="AB67" s="129">
        <v>177.68</v>
      </c>
      <c r="AC67" s="92"/>
      <c r="AD67" s="130">
        <v>12.62</v>
      </c>
      <c r="AE67" s="128" t="s">
        <v>1104</v>
      </c>
      <c r="AF67" s="61">
        <v>24</v>
      </c>
      <c r="AG67" s="62">
        <v>46873</v>
      </c>
      <c r="AH67" s="63">
        <v>2028</v>
      </c>
      <c r="AI67" s="63">
        <v>190.23</v>
      </c>
      <c r="AJ67" s="63">
        <v>177.61</v>
      </c>
      <c r="AK67" s="63"/>
      <c r="AL67" s="63">
        <v>12.62</v>
      </c>
      <c r="AM67" s="94" t="s">
        <v>1104</v>
      </c>
      <c r="AN67" s="45"/>
      <c r="AO67" s="45"/>
      <c r="AP67" s="45"/>
      <c r="AQ67" s="45"/>
      <c r="AR67" s="45"/>
    </row>
    <row r="68" spans="1:44" ht="60">
      <c r="A68" s="297"/>
      <c r="B68" s="189" t="s">
        <v>1111</v>
      </c>
      <c r="C68" s="190">
        <v>46904</v>
      </c>
      <c r="D68" s="191">
        <v>2028</v>
      </c>
      <c r="E68" s="192">
        <v>190.23</v>
      </c>
      <c r="F68" s="192">
        <v>178.1</v>
      </c>
      <c r="G68" s="192"/>
      <c r="H68" s="193">
        <v>12.13</v>
      </c>
      <c r="I68" s="170">
        <v>25</v>
      </c>
      <c r="J68" s="160">
        <f t="shared" ca="1" si="6"/>
        <v>46904</v>
      </c>
      <c r="K68" s="164">
        <f t="shared" ca="1" si="5"/>
        <v>2028</v>
      </c>
      <c r="L68" s="165">
        <f t="shared" ca="1" si="7"/>
        <v>190.23</v>
      </c>
      <c r="M68" s="165">
        <f t="shared" ca="1" si="8"/>
        <v>178.1</v>
      </c>
      <c r="N68" s="165">
        <f>0</f>
        <v>0</v>
      </c>
      <c r="O68" s="171">
        <f t="shared" ca="1" si="9"/>
        <v>12.13</v>
      </c>
      <c r="P68" s="145">
        <v>25</v>
      </c>
      <c r="Q68" s="74">
        <v>46904</v>
      </c>
      <c r="R68" s="75">
        <v>2028</v>
      </c>
      <c r="S68" s="75">
        <v>190.23</v>
      </c>
      <c r="T68" s="75">
        <v>178.1</v>
      </c>
      <c r="U68" s="63"/>
      <c r="V68" s="75">
        <v>12.13</v>
      </c>
      <c r="W68" s="76" t="s">
        <v>1104</v>
      </c>
      <c r="X68" s="90">
        <v>25</v>
      </c>
      <c r="Y68" s="91">
        <v>46904</v>
      </c>
      <c r="Z68" s="92">
        <v>2028</v>
      </c>
      <c r="AA68" s="129">
        <v>190.3</v>
      </c>
      <c r="AB68" s="129">
        <v>178.18</v>
      </c>
      <c r="AC68" s="92"/>
      <c r="AD68" s="130">
        <v>12.12</v>
      </c>
      <c r="AE68" s="128" t="s">
        <v>1104</v>
      </c>
      <c r="AF68" s="61">
        <v>25</v>
      </c>
      <c r="AG68" s="62">
        <v>46904</v>
      </c>
      <c r="AH68" s="63">
        <v>2028</v>
      </c>
      <c r="AI68" s="63">
        <v>190.23</v>
      </c>
      <c r="AJ68" s="63">
        <v>178.1</v>
      </c>
      <c r="AK68" s="63"/>
      <c r="AL68" s="63">
        <v>12.13</v>
      </c>
      <c r="AM68" s="94" t="s">
        <v>1104</v>
      </c>
      <c r="AN68" s="45"/>
      <c r="AO68" s="45"/>
      <c r="AP68" s="45"/>
      <c r="AQ68" s="45"/>
      <c r="AR68" s="45"/>
    </row>
    <row r="69" spans="1:44" ht="60">
      <c r="A69" s="297"/>
      <c r="B69" s="189" t="s">
        <v>1112</v>
      </c>
      <c r="C69" s="190">
        <v>46934</v>
      </c>
      <c r="D69" s="191">
        <v>2028</v>
      </c>
      <c r="E69" s="192">
        <v>190.23</v>
      </c>
      <c r="F69" s="192">
        <v>178.6</v>
      </c>
      <c r="G69" s="192"/>
      <c r="H69" s="193">
        <v>11.63</v>
      </c>
      <c r="I69" s="170">
        <v>26</v>
      </c>
      <c r="J69" s="160">
        <f t="shared" ca="1" si="6"/>
        <v>46934</v>
      </c>
      <c r="K69" s="164">
        <f t="shared" ca="1" si="5"/>
        <v>2028</v>
      </c>
      <c r="L69" s="165">
        <f t="shared" ca="1" si="7"/>
        <v>190.23</v>
      </c>
      <c r="M69" s="165">
        <f t="shared" ca="1" si="8"/>
        <v>178.6</v>
      </c>
      <c r="N69" s="165">
        <f>0</f>
        <v>0</v>
      </c>
      <c r="O69" s="171">
        <f t="shared" ca="1" si="9"/>
        <v>11.63</v>
      </c>
      <c r="P69" s="145">
        <v>26</v>
      </c>
      <c r="Q69" s="74">
        <v>46934</v>
      </c>
      <c r="R69" s="75">
        <v>2028</v>
      </c>
      <c r="S69" s="75">
        <v>190.23</v>
      </c>
      <c r="T69" s="75">
        <v>178.6</v>
      </c>
      <c r="U69" s="63"/>
      <c r="V69" s="75">
        <v>11.63</v>
      </c>
      <c r="W69" s="76" t="s">
        <v>1104</v>
      </c>
      <c r="X69" s="90">
        <v>26</v>
      </c>
      <c r="Y69" s="91">
        <v>46934</v>
      </c>
      <c r="Z69" s="92">
        <v>2028</v>
      </c>
      <c r="AA69" s="129">
        <v>190.3</v>
      </c>
      <c r="AB69" s="129">
        <v>178.67</v>
      </c>
      <c r="AC69" s="92"/>
      <c r="AD69" s="130">
        <v>11.63</v>
      </c>
      <c r="AE69" s="128" t="s">
        <v>1104</v>
      </c>
      <c r="AF69" s="61">
        <v>26</v>
      </c>
      <c r="AG69" s="62">
        <v>46934</v>
      </c>
      <c r="AH69" s="63">
        <v>2028</v>
      </c>
      <c r="AI69" s="63">
        <v>190.23</v>
      </c>
      <c r="AJ69" s="63">
        <v>178.6</v>
      </c>
      <c r="AK69" s="63"/>
      <c r="AL69" s="63">
        <v>11.63</v>
      </c>
      <c r="AM69" s="94" t="s">
        <v>1104</v>
      </c>
      <c r="AN69" s="45"/>
      <c r="AO69" s="45"/>
      <c r="AP69" s="45"/>
      <c r="AQ69" s="45"/>
      <c r="AR69" s="45"/>
    </row>
    <row r="70" spans="1:44" ht="60">
      <c r="A70" s="297"/>
      <c r="B70" s="189" t="s">
        <v>1113</v>
      </c>
      <c r="C70" s="190">
        <v>46965</v>
      </c>
      <c r="D70" s="191">
        <v>2028</v>
      </c>
      <c r="E70" s="192">
        <v>190.23</v>
      </c>
      <c r="F70" s="192">
        <v>179.09</v>
      </c>
      <c r="G70" s="192"/>
      <c r="H70" s="193">
        <v>11.14</v>
      </c>
      <c r="I70" s="170">
        <v>27</v>
      </c>
      <c r="J70" s="160">
        <f t="shared" ca="1" si="6"/>
        <v>46965</v>
      </c>
      <c r="K70" s="164">
        <f t="shared" ca="1" si="5"/>
        <v>2028</v>
      </c>
      <c r="L70" s="165">
        <f t="shared" ca="1" si="7"/>
        <v>190.23</v>
      </c>
      <c r="M70" s="165">
        <f t="shared" ca="1" si="8"/>
        <v>179.09</v>
      </c>
      <c r="N70" s="165">
        <f>0</f>
        <v>0</v>
      </c>
      <c r="O70" s="171">
        <f t="shared" ca="1" si="9"/>
        <v>11.14</v>
      </c>
      <c r="P70" s="145">
        <v>27</v>
      </c>
      <c r="Q70" s="74">
        <v>46965</v>
      </c>
      <c r="R70" s="75">
        <v>2028</v>
      </c>
      <c r="S70" s="75">
        <v>190.23</v>
      </c>
      <c r="T70" s="75">
        <v>179.09</v>
      </c>
      <c r="U70" s="63"/>
      <c r="V70" s="75">
        <v>11.14</v>
      </c>
      <c r="W70" s="76" t="s">
        <v>1104</v>
      </c>
      <c r="X70" s="90">
        <v>27</v>
      </c>
      <c r="Y70" s="91">
        <v>46965</v>
      </c>
      <c r="Z70" s="92">
        <v>2028</v>
      </c>
      <c r="AA70" s="129">
        <v>190.3</v>
      </c>
      <c r="AB70" s="129">
        <v>179.17</v>
      </c>
      <c r="AC70" s="92"/>
      <c r="AD70" s="131">
        <v>11.13</v>
      </c>
      <c r="AE70" s="128" t="s">
        <v>1104</v>
      </c>
      <c r="AF70" s="61">
        <v>27</v>
      </c>
      <c r="AG70" s="62">
        <v>46965</v>
      </c>
      <c r="AH70" s="63">
        <v>2028</v>
      </c>
      <c r="AI70" s="63">
        <v>190.23</v>
      </c>
      <c r="AJ70" s="63">
        <v>179.09</v>
      </c>
      <c r="AK70" s="63"/>
      <c r="AL70" s="63">
        <v>11.14</v>
      </c>
      <c r="AM70" s="94" t="s">
        <v>1104</v>
      </c>
      <c r="AN70" s="45"/>
      <c r="AO70" s="45"/>
      <c r="AP70" s="45"/>
      <c r="AQ70" s="45"/>
      <c r="AR70" s="45"/>
    </row>
    <row r="71" spans="1:44" ht="60">
      <c r="A71" s="297"/>
      <c r="B71" s="189" t="s">
        <v>1114</v>
      </c>
      <c r="C71" s="190">
        <v>46996</v>
      </c>
      <c r="D71" s="191">
        <v>2028</v>
      </c>
      <c r="E71" s="192">
        <v>190.23</v>
      </c>
      <c r="F71" s="192">
        <v>179.59</v>
      </c>
      <c r="G71" s="192"/>
      <c r="H71" s="193">
        <v>10.64</v>
      </c>
      <c r="I71" s="170">
        <v>28</v>
      </c>
      <c r="J71" s="160">
        <f t="shared" ca="1" si="6"/>
        <v>46996</v>
      </c>
      <c r="K71" s="164">
        <f t="shared" ca="1" si="5"/>
        <v>2028</v>
      </c>
      <c r="L71" s="165">
        <f t="shared" ca="1" si="7"/>
        <v>190.23</v>
      </c>
      <c r="M71" s="165">
        <f t="shared" ca="1" si="8"/>
        <v>179.59</v>
      </c>
      <c r="N71" s="165">
        <f>0</f>
        <v>0</v>
      </c>
      <c r="O71" s="171">
        <f t="shared" ca="1" si="9"/>
        <v>10.64</v>
      </c>
      <c r="P71" s="145">
        <v>28</v>
      </c>
      <c r="Q71" s="74">
        <v>46996</v>
      </c>
      <c r="R71" s="75">
        <v>2028</v>
      </c>
      <c r="S71" s="75">
        <v>190.23</v>
      </c>
      <c r="T71" s="75">
        <v>179.59</v>
      </c>
      <c r="U71" s="63"/>
      <c r="V71" s="75">
        <v>10.64</v>
      </c>
      <c r="W71" s="76" t="s">
        <v>1104</v>
      </c>
      <c r="X71" s="90">
        <v>28</v>
      </c>
      <c r="Y71" s="91">
        <v>46996</v>
      </c>
      <c r="Z71" s="92">
        <v>2028</v>
      </c>
      <c r="AA71" s="129">
        <v>190.3</v>
      </c>
      <c r="AB71" s="129">
        <v>179.66</v>
      </c>
      <c r="AC71" s="92"/>
      <c r="AD71" s="130">
        <v>10.64</v>
      </c>
      <c r="AE71" s="128" t="s">
        <v>1104</v>
      </c>
      <c r="AF71" s="61">
        <v>28</v>
      </c>
      <c r="AG71" s="62">
        <v>46996</v>
      </c>
      <c r="AH71" s="63">
        <v>2028</v>
      </c>
      <c r="AI71" s="63">
        <v>190.23</v>
      </c>
      <c r="AJ71" s="63">
        <v>179.59</v>
      </c>
      <c r="AK71" s="63"/>
      <c r="AL71" s="63">
        <v>10.64</v>
      </c>
      <c r="AM71" s="94" t="s">
        <v>1104</v>
      </c>
      <c r="AN71" s="45"/>
      <c r="AO71" s="45"/>
      <c r="AP71" s="45"/>
      <c r="AQ71" s="45"/>
      <c r="AR71" s="45"/>
    </row>
    <row r="72" spans="1:44" ht="60">
      <c r="A72" s="297"/>
      <c r="B72" s="189" t="s">
        <v>1115</v>
      </c>
      <c r="C72" s="190">
        <v>47026</v>
      </c>
      <c r="D72" s="191">
        <v>2028</v>
      </c>
      <c r="E72" s="192">
        <v>190.23</v>
      </c>
      <c r="F72" s="192">
        <v>180.09</v>
      </c>
      <c r="G72" s="192"/>
      <c r="H72" s="193">
        <v>10.14</v>
      </c>
      <c r="I72" s="170">
        <v>29</v>
      </c>
      <c r="J72" s="160">
        <f t="shared" ca="1" si="6"/>
        <v>47026</v>
      </c>
      <c r="K72" s="164">
        <f t="shared" ca="1" si="5"/>
        <v>2028</v>
      </c>
      <c r="L72" s="165">
        <f t="shared" ca="1" si="7"/>
        <v>190.23</v>
      </c>
      <c r="M72" s="165">
        <f t="shared" ca="1" si="8"/>
        <v>180.09</v>
      </c>
      <c r="N72" s="165">
        <f>0</f>
        <v>0</v>
      </c>
      <c r="O72" s="171">
        <f t="shared" ca="1" si="9"/>
        <v>10.14</v>
      </c>
      <c r="P72" s="145">
        <v>29</v>
      </c>
      <c r="Q72" s="74">
        <v>47026</v>
      </c>
      <c r="R72" s="75">
        <v>2028</v>
      </c>
      <c r="S72" s="75">
        <v>190.23</v>
      </c>
      <c r="T72" s="75">
        <v>180.09</v>
      </c>
      <c r="U72" s="63"/>
      <c r="V72" s="75">
        <v>10.14</v>
      </c>
      <c r="W72" s="76" t="s">
        <v>1104</v>
      </c>
      <c r="X72" s="90">
        <v>29</v>
      </c>
      <c r="Y72" s="91">
        <v>47026</v>
      </c>
      <c r="Z72" s="92">
        <v>2028</v>
      </c>
      <c r="AA72" s="129">
        <v>190.3</v>
      </c>
      <c r="AB72" s="129">
        <v>180.16</v>
      </c>
      <c r="AC72" s="92"/>
      <c r="AD72" s="130">
        <v>10.14</v>
      </c>
      <c r="AE72" s="128" t="s">
        <v>1104</v>
      </c>
      <c r="AF72" s="61">
        <v>29</v>
      </c>
      <c r="AG72" s="62">
        <v>47026</v>
      </c>
      <c r="AH72" s="63">
        <v>2028</v>
      </c>
      <c r="AI72" s="63">
        <v>190.23</v>
      </c>
      <c r="AJ72" s="63">
        <v>180.09</v>
      </c>
      <c r="AK72" s="63"/>
      <c r="AL72" s="63">
        <v>10.14</v>
      </c>
      <c r="AM72" s="94" t="s">
        <v>1104</v>
      </c>
      <c r="AN72" s="45"/>
      <c r="AO72" s="45"/>
      <c r="AP72" s="45"/>
      <c r="AQ72" s="45"/>
      <c r="AR72" s="45"/>
    </row>
    <row r="73" spans="1:44" ht="60">
      <c r="A73" s="297"/>
      <c r="B73" s="189" t="s">
        <v>1116</v>
      </c>
      <c r="C73" s="190">
        <v>47057</v>
      </c>
      <c r="D73" s="191">
        <v>2028</v>
      </c>
      <c r="E73" s="192">
        <v>190.23</v>
      </c>
      <c r="F73" s="192">
        <v>180.59</v>
      </c>
      <c r="G73" s="192"/>
      <c r="H73" s="193">
        <v>9.64</v>
      </c>
      <c r="I73" s="170">
        <v>30</v>
      </c>
      <c r="J73" s="160">
        <f t="shared" ca="1" si="6"/>
        <v>47057</v>
      </c>
      <c r="K73" s="164">
        <f t="shared" ca="1" si="5"/>
        <v>2028</v>
      </c>
      <c r="L73" s="165">
        <f t="shared" ca="1" si="7"/>
        <v>190.23</v>
      </c>
      <c r="M73" s="165">
        <f t="shared" ca="1" si="8"/>
        <v>180.59</v>
      </c>
      <c r="N73" s="165">
        <f>0</f>
        <v>0</v>
      </c>
      <c r="O73" s="171">
        <f t="shared" ca="1" si="9"/>
        <v>9.64</v>
      </c>
      <c r="P73" s="145">
        <v>30</v>
      </c>
      <c r="Q73" s="74">
        <v>47057</v>
      </c>
      <c r="R73" s="75">
        <v>2028</v>
      </c>
      <c r="S73" s="75">
        <v>190.23</v>
      </c>
      <c r="T73" s="75">
        <v>180.59</v>
      </c>
      <c r="U73" s="63"/>
      <c r="V73" s="75">
        <v>9.64</v>
      </c>
      <c r="W73" s="76" t="s">
        <v>1104</v>
      </c>
      <c r="X73" s="90">
        <v>30</v>
      </c>
      <c r="Y73" s="91">
        <v>47057</v>
      </c>
      <c r="Z73" s="92">
        <v>2028</v>
      </c>
      <c r="AA73" s="129">
        <v>190.3</v>
      </c>
      <c r="AB73" s="129">
        <v>180.66</v>
      </c>
      <c r="AC73" s="92"/>
      <c r="AD73" s="130">
        <v>9.64</v>
      </c>
      <c r="AE73" s="128" t="s">
        <v>1104</v>
      </c>
      <c r="AF73" s="61">
        <v>30</v>
      </c>
      <c r="AG73" s="62">
        <v>47057</v>
      </c>
      <c r="AH73" s="63">
        <v>2028</v>
      </c>
      <c r="AI73" s="63">
        <v>190.23</v>
      </c>
      <c r="AJ73" s="63">
        <v>180.59</v>
      </c>
      <c r="AK73" s="63"/>
      <c r="AL73" s="63">
        <v>9.64</v>
      </c>
      <c r="AM73" s="94" t="s">
        <v>1104</v>
      </c>
      <c r="AN73" s="45"/>
      <c r="AO73" s="45"/>
      <c r="AP73" s="45"/>
      <c r="AQ73" s="45"/>
      <c r="AR73" s="45"/>
    </row>
    <row r="74" spans="1:44" ht="60">
      <c r="A74" s="297"/>
      <c r="B74" s="189" t="s">
        <v>1117</v>
      </c>
      <c r="C74" s="190">
        <v>47087</v>
      </c>
      <c r="D74" s="191">
        <v>2028</v>
      </c>
      <c r="E74" s="192">
        <v>190.23</v>
      </c>
      <c r="F74" s="192">
        <v>181.09</v>
      </c>
      <c r="G74" s="192"/>
      <c r="H74" s="193">
        <v>9.14</v>
      </c>
      <c r="I74" s="170">
        <v>31</v>
      </c>
      <c r="J74" s="160">
        <f t="shared" ca="1" si="6"/>
        <v>47087</v>
      </c>
      <c r="K74" s="164">
        <f t="shared" ca="1" si="5"/>
        <v>2028</v>
      </c>
      <c r="L74" s="165">
        <f t="shared" ca="1" si="7"/>
        <v>190.23</v>
      </c>
      <c r="M74" s="165">
        <f t="shared" ca="1" si="8"/>
        <v>181.09</v>
      </c>
      <c r="N74" s="165">
        <f>0</f>
        <v>0</v>
      </c>
      <c r="O74" s="171">
        <f t="shared" ca="1" si="9"/>
        <v>9.14</v>
      </c>
      <c r="P74" s="145">
        <v>31</v>
      </c>
      <c r="Q74" s="74">
        <v>47087</v>
      </c>
      <c r="R74" s="75">
        <v>2028</v>
      </c>
      <c r="S74" s="75">
        <v>190.23</v>
      </c>
      <c r="T74" s="75">
        <v>181.09</v>
      </c>
      <c r="U74" s="63"/>
      <c r="V74" s="75">
        <v>9.14</v>
      </c>
      <c r="W74" s="76" t="s">
        <v>1104</v>
      </c>
      <c r="X74" s="90">
        <v>31</v>
      </c>
      <c r="Y74" s="91">
        <v>47087</v>
      </c>
      <c r="Z74" s="92">
        <v>2028</v>
      </c>
      <c r="AA74" s="129">
        <v>190.3</v>
      </c>
      <c r="AB74" s="129">
        <v>181.16</v>
      </c>
      <c r="AC74" s="92"/>
      <c r="AD74" s="130">
        <v>9.14</v>
      </c>
      <c r="AE74" s="128" t="s">
        <v>1104</v>
      </c>
      <c r="AF74" s="61">
        <v>31</v>
      </c>
      <c r="AG74" s="62">
        <v>47087</v>
      </c>
      <c r="AH74" s="63">
        <v>2028</v>
      </c>
      <c r="AI74" s="63">
        <v>190.23</v>
      </c>
      <c r="AJ74" s="63">
        <v>181.09</v>
      </c>
      <c r="AK74" s="63"/>
      <c r="AL74" s="63">
        <v>9.14</v>
      </c>
      <c r="AM74" s="94" t="s">
        <v>1104</v>
      </c>
      <c r="AN74" s="45"/>
      <c r="AO74" s="45"/>
      <c r="AP74" s="45"/>
      <c r="AQ74" s="45"/>
      <c r="AR74" s="45"/>
    </row>
    <row r="75" spans="1:44" ht="60">
      <c r="A75" s="297"/>
      <c r="B75" s="189" t="s">
        <v>1118</v>
      </c>
      <c r="C75" s="190">
        <v>47118</v>
      </c>
      <c r="D75" s="191">
        <v>2028</v>
      </c>
      <c r="E75" s="192">
        <v>190.23</v>
      </c>
      <c r="F75" s="192">
        <v>181.59</v>
      </c>
      <c r="G75" s="192"/>
      <c r="H75" s="193">
        <v>8.64</v>
      </c>
      <c r="I75" s="170">
        <v>32</v>
      </c>
      <c r="J75" s="160">
        <f t="shared" ca="1" si="6"/>
        <v>47118</v>
      </c>
      <c r="K75" s="164">
        <f t="shared" ca="1" si="5"/>
        <v>2028</v>
      </c>
      <c r="L75" s="165">
        <f t="shared" ca="1" si="7"/>
        <v>190.23</v>
      </c>
      <c r="M75" s="165">
        <f t="shared" ca="1" si="8"/>
        <v>181.59</v>
      </c>
      <c r="N75" s="165">
        <f>0</f>
        <v>0</v>
      </c>
      <c r="O75" s="171">
        <f t="shared" ca="1" si="9"/>
        <v>8.64</v>
      </c>
      <c r="P75" s="145">
        <v>32</v>
      </c>
      <c r="Q75" s="74">
        <v>47118</v>
      </c>
      <c r="R75" s="75">
        <v>2028</v>
      </c>
      <c r="S75" s="75">
        <v>190.23</v>
      </c>
      <c r="T75" s="75">
        <v>181.59</v>
      </c>
      <c r="U75" s="63"/>
      <c r="V75" s="75">
        <v>8.64</v>
      </c>
      <c r="W75" s="76" t="s">
        <v>1104</v>
      </c>
      <c r="X75" s="90">
        <v>32</v>
      </c>
      <c r="Y75" s="91">
        <v>47118</v>
      </c>
      <c r="Z75" s="92">
        <v>2028</v>
      </c>
      <c r="AA75" s="129">
        <v>190.3</v>
      </c>
      <c r="AB75" s="129">
        <v>181.67</v>
      </c>
      <c r="AC75" s="92"/>
      <c r="AD75" s="131">
        <v>8.6300000000000008</v>
      </c>
      <c r="AE75" s="128" t="s">
        <v>1104</v>
      </c>
      <c r="AF75" s="61">
        <v>32</v>
      </c>
      <c r="AG75" s="62">
        <v>47118</v>
      </c>
      <c r="AH75" s="63">
        <v>2028</v>
      </c>
      <c r="AI75" s="63">
        <v>190.23</v>
      </c>
      <c r="AJ75" s="63">
        <v>181.59</v>
      </c>
      <c r="AK75" s="63"/>
      <c r="AL75" s="63">
        <v>8.64</v>
      </c>
      <c r="AM75" s="94" t="s">
        <v>1104</v>
      </c>
      <c r="AN75" s="45"/>
      <c r="AO75" s="45"/>
      <c r="AP75" s="45"/>
      <c r="AQ75" s="45"/>
      <c r="AR75" s="45"/>
    </row>
    <row r="76" spans="1:44" ht="60">
      <c r="A76" s="297"/>
      <c r="B76" s="189" t="s">
        <v>1119</v>
      </c>
      <c r="C76" s="190">
        <v>47149</v>
      </c>
      <c r="D76" s="191">
        <v>2029</v>
      </c>
      <c r="E76" s="192">
        <v>190.23</v>
      </c>
      <c r="F76" s="192">
        <v>182.09</v>
      </c>
      <c r="G76" s="192"/>
      <c r="H76" s="193">
        <v>8.14</v>
      </c>
      <c r="I76" s="170">
        <v>33</v>
      </c>
      <c r="J76" s="160">
        <f t="shared" ca="1" si="6"/>
        <v>47149</v>
      </c>
      <c r="K76" s="164">
        <f t="shared" ca="1" si="5"/>
        <v>2029</v>
      </c>
      <c r="L76" s="165">
        <f t="shared" ca="1" si="7"/>
        <v>190.23</v>
      </c>
      <c r="M76" s="165">
        <f t="shared" ca="1" si="8"/>
        <v>182.09</v>
      </c>
      <c r="N76" s="165">
        <f>0</f>
        <v>0</v>
      </c>
      <c r="O76" s="171">
        <f t="shared" ca="1" si="9"/>
        <v>8.14</v>
      </c>
      <c r="P76" s="145">
        <v>33</v>
      </c>
      <c r="Q76" s="74">
        <v>47149</v>
      </c>
      <c r="R76" s="75">
        <v>2029</v>
      </c>
      <c r="S76" s="75">
        <v>190.23</v>
      </c>
      <c r="T76" s="75">
        <v>182.09</v>
      </c>
      <c r="U76" s="63"/>
      <c r="V76" s="75">
        <v>8.14</v>
      </c>
      <c r="W76" s="76" t="s">
        <v>1104</v>
      </c>
      <c r="X76" s="90">
        <v>33</v>
      </c>
      <c r="Y76" s="91">
        <v>47149</v>
      </c>
      <c r="Z76" s="92">
        <v>2029</v>
      </c>
      <c r="AA76" s="129">
        <v>190.3</v>
      </c>
      <c r="AB76" s="129">
        <v>182.17</v>
      </c>
      <c r="AC76" s="92"/>
      <c r="AD76" s="131">
        <v>8.1300000000000008</v>
      </c>
      <c r="AE76" s="128" t="s">
        <v>1104</v>
      </c>
      <c r="AF76" s="61">
        <v>33</v>
      </c>
      <c r="AG76" s="62">
        <v>47149</v>
      </c>
      <c r="AH76" s="63">
        <v>2029</v>
      </c>
      <c r="AI76" s="63">
        <v>190.23</v>
      </c>
      <c r="AJ76" s="63">
        <v>182.09</v>
      </c>
      <c r="AK76" s="63"/>
      <c r="AL76" s="63">
        <v>8.14</v>
      </c>
      <c r="AM76" s="94" t="s">
        <v>1104</v>
      </c>
      <c r="AN76" s="45"/>
      <c r="AO76" s="45"/>
      <c r="AP76" s="45"/>
      <c r="AQ76" s="45"/>
      <c r="AR76" s="45"/>
    </row>
    <row r="77" spans="1:44" ht="60">
      <c r="A77" s="297"/>
      <c r="B77" s="189" t="s">
        <v>1120</v>
      </c>
      <c r="C77" s="190">
        <v>47177</v>
      </c>
      <c r="D77" s="191">
        <v>2029</v>
      </c>
      <c r="E77" s="192">
        <v>190.23</v>
      </c>
      <c r="F77" s="192">
        <v>182.6</v>
      </c>
      <c r="G77" s="192"/>
      <c r="H77" s="193">
        <v>7.63</v>
      </c>
      <c r="I77" s="170">
        <v>34</v>
      </c>
      <c r="J77" s="160">
        <f t="shared" ca="1" si="6"/>
        <v>47177</v>
      </c>
      <c r="K77" s="164">
        <f t="shared" ca="1" si="5"/>
        <v>2029</v>
      </c>
      <c r="L77" s="165">
        <f t="shared" ca="1" si="7"/>
        <v>190.23</v>
      </c>
      <c r="M77" s="165">
        <f t="shared" ca="1" si="8"/>
        <v>182.6</v>
      </c>
      <c r="N77" s="165">
        <f>0</f>
        <v>0</v>
      </c>
      <c r="O77" s="171">
        <f t="shared" ca="1" si="9"/>
        <v>7.63</v>
      </c>
      <c r="P77" s="145">
        <v>34</v>
      </c>
      <c r="Q77" s="74">
        <v>47177</v>
      </c>
      <c r="R77" s="75">
        <v>2029</v>
      </c>
      <c r="S77" s="75">
        <v>190.23</v>
      </c>
      <c r="T77" s="75">
        <v>182.6</v>
      </c>
      <c r="U77" s="63"/>
      <c r="V77" s="75">
        <v>7.63</v>
      </c>
      <c r="W77" s="76" t="s">
        <v>1104</v>
      </c>
      <c r="X77" s="90">
        <v>34</v>
      </c>
      <c r="Y77" s="91">
        <v>47177</v>
      </c>
      <c r="Z77" s="92">
        <v>2029</v>
      </c>
      <c r="AA77" s="129">
        <v>190.3</v>
      </c>
      <c r="AB77" s="129">
        <v>182.68</v>
      </c>
      <c r="AC77" s="92"/>
      <c r="AD77" s="131">
        <v>7.62</v>
      </c>
      <c r="AE77" s="128" t="s">
        <v>1104</v>
      </c>
      <c r="AF77" s="61">
        <v>34</v>
      </c>
      <c r="AG77" s="62">
        <v>47177</v>
      </c>
      <c r="AH77" s="63">
        <v>2029</v>
      </c>
      <c r="AI77" s="63">
        <v>190.23</v>
      </c>
      <c r="AJ77" s="63">
        <v>182.6</v>
      </c>
      <c r="AK77" s="63"/>
      <c r="AL77" s="63">
        <v>7.63</v>
      </c>
      <c r="AM77" s="94" t="s">
        <v>1104</v>
      </c>
      <c r="AN77" s="45"/>
      <c r="AO77" s="45"/>
      <c r="AP77" s="45"/>
      <c r="AQ77" s="45"/>
      <c r="AR77" s="45"/>
    </row>
    <row r="78" spans="1:44" ht="60">
      <c r="A78" s="297"/>
      <c r="B78" s="189" t="s">
        <v>1121</v>
      </c>
      <c r="C78" s="190">
        <v>47208</v>
      </c>
      <c r="D78" s="191">
        <v>2029</v>
      </c>
      <c r="E78" s="192">
        <v>190.23</v>
      </c>
      <c r="F78" s="192">
        <v>183.11</v>
      </c>
      <c r="G78" s="192"/>
      <c r="H78" s="193">
        <v>7.12</v>
      </c>
      <c r="I78" s="170">
        <v>35</v>
      </c>
      <c r="J78" s="160">
        <f t="shared" ca="1" si="6"/>
        <v>47208</v>
      </c>
      <c r="K78" s="164">
        <f t="shared" ca="1" si="5"/>
        <v>2029</v>
      </c>
      <c r="L78" s="165">
        <f t="shared" ca="1" si="7"/>
        <v>190.23</v>
      </c>
      <c r="M78" s="165">
        <f t="shared" ca="1" si="8"/>
        <v>183.11</v>
      </c>
      <c r="N78" s="165">
        <f>0</f>
        <v>0</v>
      </c>
      <c r="O78" s="171">
        <f t="shared" ca="1" si="9"/>
        <v>7.12</v>
      </c>
      <c r="P78" s="145">
        <v>35</v>
      </c>
      <c r="Q78" s="74">
        <v>47208</v>
      </c>
      <c r="R78" s="75">
        <v>2029</v>
      </c>
      <c r="S78" s="75">
        <v>190.23</v>
      </c>
      <c r="T78" s="75">
        <v>183.11</v>
      </c>
      <c r="U78" s="63"/>
      <c r="V78" s="75">
        <v>7.12</v>
      </c>
      <c r="W78" s="76" t="s">
        <v>1104</v>
      </c>
      <c r="X78" s="90">
        <v>35</v>
      </c>
      <c r="Y78" s="91">
        <v>47208</v>
      </c>
      <c r="Z78" s="92">
        <v>2029</v>
      </c>
      <c r="AA78" s="129">
        <v>190.3</v>
      </c>
      <c r="AB78" s="129">
        <v>183.18</v>
      </c>
      <c r="AC78" s="92"/>
      <c r="AD78" s="130">
        <v>7.12</v>
      </c>
      <c r="AE78" s="128" t="s">
        <v>1104</v>
      </c>
      <c r="AF78" s="61">
        <v>35</v>
      </c>
      <c r="AG78" s="62">
        <v>47208</v>
      </c>
      <c r="AH78" s="63">
        <v>2029</v>
      </c>
      <c r="AI78" s="63">
        <v>190.23</v>
      </c>
      <c r="AJ78" s="63">
        <v>183.11</v>
      </c>
      <c r="AK78" s="63"/>
      <c r="AL78" s="63">
        <v>7.12</v>
      </c>
      <c r="AM78" s="94" t="s">
        <v>1104</v>
      </c>
      <c r="AN78" s="45"/>
      <c r="AO78" s="45"/>
      <c r="AP78" s="45"/>
      <c r="AQ78" s="45"/>
      <c r="AR78" s="45"/>
    </row>
    <row r="79" spans="1:44" ht="60">
      <c r="A79" s="297"/>
      <c r="B79" s="189" t="s">
        <v>1122</v>
      </c>
      <c r="C79" s="190">
        <v>47238</v>
      </c>
      <c r="D79" s="191">
        <v>2029</v>
      </c>
      <c r="E79" s="192">
        <v>190.36</v>
      </c>
      <c r="F79" s="192">
        <v>183.75</v>
      </c>
      <c r="G79" s="192"/>
      <c r="H79" s="193">
        <v>6.61</v>
      </c>
      <c r="I79" s="170">
        <v>36</v>
      </c>
      <c r="J79" s="160">
        <f t="shared" ca="1" si="6"/>
        <v>47238</v>
      </c>
      <c r="K79" s="164">
        <f t="shared" ca="1" si="5"/>
        <v>2029</v>
      </c>
      <c r="L79" s="165">
        <f ca="1">ROUND(M79+O79,2)</f>
        <v>190.36</v>
      </c>
      <c r="M79" s="165">
        <f ca="1">ROUND(P78-ROUND($M$59*$M$61,2),2)</f>
        <v>183.75</v>
      </c>
      <c r="N79" s="165">
        <f>0</f>
        <v>0</v>
      </c>
      <c r="O79" s="171">
        <f ca="1">ROUND(P78*($M$62/$M$64),2)</f>
        <v>6.61</v>
      </c>
      <c r="P79" s="145">
        <v>36</v>
      </c>
      <c r="Q79" s="74">
        <v>47238</v>
      </c>
      <c r="R79" s="75">
        <v>2029</v>
      </c>
      <c r="S79" s="75">
        <v>190.36</v>
      </c>
      <c r="T79" s="75">
        <v>183.75</v>
      </c>
      <c r="U79" s="63"/>
      <c r="V79" s="75">
        <v>6.61</v>
      </c>
      <c r="W79" s="76" t="s">
        <v>1104</v>
      </c>
      <c r="X79" s="90">
        <v>36</v>
      </c>
      <c r="Y79" s="91">
        <v>47238</v>
      </c>
      <c r="Z79" s="92">
        <v>2029</v>
      </c>
      <c r="AA79" s="129">
        <v>187.83</v>
      </c>
      <c r="AB79" s="129">
        <v>181.22</v>
      </c>
      <c r="AC79" s="92"/>
      <c r="AD79" s="130">
        <v>6.61</v>
      </c>
      <c r="AE79" s="128" t="s">
        <v>1104</v>
      </c>
      <c r="AF79" s="61">
        <v>36</v>
      </c>
      <c r="AG79" s="62">
        <v>47238</v>
      </c>
      <c r="AH79" s="63">
        <v>2029</v>
      </c>
      <c r="AI79" s="63">
        <v>190.36</v>
      </c>
      <c r="AJ79" s="63">
        <v>183.75</v>
      </c>
      <c r="AK79" s="63"/>
      <c r="AL79" s="63">
        <v>6.61</v>
      </c>
      <c r="AM79" s="94" t="s">
        <v>1104</v>
      </c>
      <c r="AN79" s="45"/>
      <c r="AO79" s="45"/>
      <c r="AP79" s="45"/>
      <c r="AQ79" s="45"/>
      <c r="AR79" s="45"/>
    </row>
    <row r="80" spans="1:44" ht="75.75" thickBot="1">
      <c r="A80" s="298"/>
      <c r="B80" s="194" t="s">
        <v>1100</v>
      </c>
      <c r="C80" s="195">
        <v>47238</v>
      </c>
      <c r="D80" s="196">
        <v>2029</v>
      </c>
      <c r="E80" s="197">
        <v>2200</v>
      </c>
      <c r="F80" s="197">
        <v>0</v>
      </c>
      <c r="G80" s="197">
        <v>2200</v>
      </c>
      <c r="H80" s="198">
        <v>0</v>
      </c>
      <c r="I80" s="150" t="s">
        <v>1074</v>
      </c>
      <c r="J80" s="172">
        <f ca="1">EOMONTH($M$58,I79)</f>
        <v>47238</v>
      </c>
      <c r="K80" s="173">
        <f ca="1">YEAR(J80)</f>
        <v>2029</v>
      </c>
      <c r="L80" s="174">
        <v>2200</v>
      </c>
      <c r="M80" s="174">
        <f>0</f>
        <v>0</v>
      </c>
      <c r="N80" s="174">
        <f ca="1">ROUND($M$59*$M$61,2)</f>
        <v>2200</v>
      </c>
      <c r="O80" s="175">
        <f>0</f>
        <v>0</v>
      </c>
      <c r="P80" s="147" t="s">
        <v>1100</v>
      </c>
      <c r="Q80" s="81">
        <v>47238</v>
      </c>
      <c r="R80" s="82">
        <v>2029</v>
      </c>
      <c r="S80" s="82">
        <v>2200</v>
      </c>
      <c r="T80" s="82">
        <v>0</v>
      </c>
      <c r="U80" s="82">
        <v>2200</v>
      </c>
      <c r="V80" s="82">
        <v>0</v>
      </c>
      <c r="W80" s="83" t="s">
        <v>1105</v>
      </c>
      <c r="X80" s="103" t="s">
        <v>1100</v>
      </c>
      <c r="Y80" s="105">
        <v>47238</v>
      </c>
      <c r="Z80" s="104">
        <v>2029</v>
      </c>
      <c r="AA80" s="104">
        <v>2200</v>
      </c>
      <c r="AB80" s="104">
        <v>0</v>
      </c>
      <c r="AC80" s="104">
        <v>2200</v>
      </c>
      <c r="AD80" s="133">
        <v>0</v>
      </c>
      <c r="AE80" s="132" t="s">
        <v>1105</v>
      </c>
      <c r="AF80" s="134" t="s">
        <v>1100</v>
      </c>
      <c r="AG80" s="135">
        <v>47238</v>
      </c>
      <c r="AH80" s="136">
        <v>2029</v>
      </c>
      <c r="AI80" s="136">
        <v>2200</v>
      </c>
      <c r="AJ80" s="136">
        <v>0</v>
      </c>
      <c r="AK80" s="136">
        <v>2200</v>
      </c>
      <c r="AL80" s="136">
        <v>0</v>
      </c>
      <c r="AM80" s="137" t="s">
        <v>1105</v>
      </c>
      <c r="AN80" s="45"/>
      <c r="AO80" s="45"/>
      <c r="AP80" s="45"/>
      <c r="AQ80" s="45"/>
      <c r="AR80" s="45"/>
    </row>
  </sheetData>
  <mergeCells count="8">
    <mergeCell ref="X1:AE1"/>
    <mergeCell ref="AF1:AM1"/>
    <mergeCell ref="A3:A28"/>
    <mergeCell ref="A29:A42"/>
    <mergeCell ref="A43:A80"/>
    <mergeCell ref="B1:H1"/>
    <mergeCell ref="I1:O1"/>
    <mergeCell ref="P1:W1"/>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CC"/>
  </sheetPr>
  <dimension ref="B2:F5"/>
  <sheetViews>
    <sheetView workbookViewId="0">
      <selection activeCell="F10" sqref="F10"/>
    </sheetView>
  </sheetViews>
  <sheetFormatPr defaultRowHeight="14.25"/>
  <cols>
    <col min="1" max="1" width="3.875" customWidth="1"/>
  </cols>
  <sheetData>
    <row r="2" spans="2:6" ht="45">
      <c r="B2" s="2" t="s">
        <v>822</v>
      </c>
      <c r="C2" s="256" t="s">
        <v>1293</v>
      </c>
      <c r="D2" s="256" t="s">
        <v>1294</v>
      </c>
      <c r="E2" s="256" t="s">
        <v>1295</v>
      </c>
      <c r="F2" s="256" t="s">
        <v>1157</v>
      </c>
    </row>
    <row r="3" spans="2:6" ht="15">
      <c r="B3" s="1" t="s">
        <v>827</v>
      </c>
      <c r="C3" s="257" t="s">
        <v>1159</v>
      </c>
      <c r="D3" s="257" t="s">
        <v>1159</v>
      </c>
      <c r="E3" s="257" t="s">
        <v>1160</v>
      </c>
      <c r="F3" s="257" t="s">
        <v>1161</v>
      </c>
    </row>
    <row r="4" spans="2:6" ht="15">
      <c r="B4" s="1" t="s">
        <v>828</v>
      </c>
      <c r="C4" s="257" t="s">
        <v>1160</v>
      </c>
      <c r="D4" s="257" t="s">
        <v>1159</v>
      </c>
      <c r="E4" s="257" t="s">
        <v>1158</v>
      </c>
      <c r="F4" s="257" t="s">
        <v>1162</v>
      </c>
    </row>
    <row r="5" spans="2:6" ht="15">
      <c r="B5" s="1" t="s">
        <v>829</v>
      </c>
      <c r="C5" s="257" t="s">
        <v>1159</v>
      </c>
      <c r="D5" s="257" t="s">
        <v>1159</v>
      </c>
      <c r="E5" s="257" t="s">
        <v>1159</v>
      </c>
      <c r="F5" s="257" t="s">
        <v>1163</v>
      </c>
    </row>
  </sheetData>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7"/>
  <sheetViews>
    <sheetView topLeftCell="A76" zoomScale="70" zoomScaleNormal="70" workbookViewId="0">
      <selection activeCell="G95" sqref="G95"/>
    </sheetView>
  </sheetViews>
  <sheetFormatPr defaultRowHeight="14.25"/>
  <cols>
    <col min="1" max="1" width="10.125" style="209" customWidth="1"/>
    <col min="2" max="2" width="12.125" style="209" customWidth="1"/>
    <col min="3" max="3" width="10.625" style="209" bestFit="1" customWidth="1"/>
    <col min="4" max="4" width="9.625" style="209" customWidth="1"/>
    <col min="5" max="5" width="12.875" style="209" customWidth="1"/>
    <col min="6" max="6" width="9.75" style="209" customWidth="1"/>
    <col min="7" max="7" width="9.5" style="209" customWidth="1"/>
    <col min="8" max="8" width="10.125" style="7" customWidth="1"/>
    <col min="9" max="9" width="4.125" customWidth="1"/>
    <col min="10" max="10" width="2.625" customWidth="1"/>
    <col min="11" max="11" width="13.75" bestFit="1" customWidth="1"/>
    <col min="12" max="12" width="18.75" customWidth="1"/>
    <col min="13" max="13" width="9.75" bestFit="1" customWidth="1"/>
    <col min="14" max="14" width="13.75" bestFit="1" customWidth="1"/>
    <col min="15" max="15" width="12.625" customWidth="1"/>
    <col min="16" max="16" width="3.125" customWidth="1"/>
  </cols>
  <sheetData>
    <row r="1" spans="1:13" ht="15.75">
      <c r="A1" s="299"/>
      <c r="B1" s="299"/>
      <c r="C1" s="299"/>
      <c r="D1" s="299"/>
      <c r="E1" s="299"/>
      <c r="F1" s="299"/>
      <c r="G1" s="299"/>
    </row>
    <row r="2" spans="1:13" ht="31.5">
      <c r="A2" s="51" t="s">
        <v>1075</v>
      </c>
      <c r="B2" s="51" t="s">
        <v>1072</v>
      </c>
      <c r="C2" s="50" t="s">
        <v>1073</v>
      </c>
      <c r="D2" s="50" t="s">
        <v>40</v>
      </c>
      <c r="E2" s="50" t="s">
        <v>43</v>
      </c>
      <c r="F2" s="50" t="s">
        <v>1074</v>
      </c>
      <c r="G2" s="50" t="s">
        <v>42</v>
      </c>
      <c r="H2" s="50" t="s">
        <v>1139</v>
      </c>
    </row>
    <row r="3" spans="1:13" ht="32.25" thickBot="1">
      <c r="A3" s="138" t="s">
        <v>990</v>
      </c>
      <c r="B3" s="204">
        <f>$M$5</f>
        <v>46127</v>
      </c>
      <c r="C3" s="161">
        <f>YEAR(B3)</f>
        <v>2026</v>
      </c>
      <c r="D3" s="162">
        <f>ROUND($M$6*$M$7,2)</f>
        <v>1000</v>
      </c>
      <c r="E3" s="162">
        <v>1000</v>
      </c>
      <c r="F3" s="162">
        <v>0</v>
      </c>
      <c r="G3" s="162">
        <v>0</v>
      </c>
      <c r="H3" s="205">
        <f>ROUND($M$6-D3,2)</f>
        <v>9000</v>
      </c>
    </row>
    <row r="4" spans="1:13" ht="15.75">
      <c r="A4" s="161">
        <v>1</v>
      </c>
      <c r="B4" s="204">
        <f t="shared" ref="B4:B27" si="0">EOMONTH($M$5,A4)</f>
        <v>46173</v>
      </c>
      <c r="C4" s="161">
        <f t="shared" ref="C4:C28" si="1">YEAR(B4)</f>
        <v>2026</v>
      </c>
      <c r="D4" s="162">
        <f t="shared" ref="D4:D26" si="2">ROUND(IF($M$9=0,(($M$6-ROUND($M$6*$M$7,2))-ROUND($M$6*$M$8,2))/($M$10*$M$11),(($M$9/$M$11)*(($M$6-ROUND($M$6*$M$7,2))-ROUND($M$6*$M$8,2)/(1+$M$9/$M$11)^($M$10*$M$11)))/(1-(1+$M$9/$M$11)^(-$M$10*$M$11))),2)</f>
        <v>355.14</v>
      </c>
      <c r="E4" s="162">
        <f>ROUND(D4-G4,2)</f>
        <v>317.64</v>
      </c>
      <c r="F4" s="162">
        <f>0</f>
        <v>0</v>
      </c>
      <c r="G4" s="162">
        <f t="shared" ref="G4:G27" si="3">ROUND(H3*($M$9/$M$11),2)</f>
        <v>37.5</v>
      </c>
      <c r="H4" s="205">
        <f>ROUND(H3-E4,2)</f>
        <v>8682.36</v>
      </c>
      <c r="L4" s="155" t="s">
        <v>1129</v>
      </c>
      <c r="M4" s="206"/>
    </row>
    <row r="5" spans="1:13" ht="15.75">
      <c r="A5" s="161">
        <v>2</v>
      </c>
      <c r="B5" s="204">
        <f t="shared" si="0"/>
        <v>46203</v>
      </c>
      <c r="C5" s="161">
        <f t="shared" si="1"/>
        <v>2026</v>
      </c>
      <c r="D5" s="162">
        <f t="shared" si="2"/>
        <v>355.14</v>
      </c>
      <c r="E5" s="162">
        <f t="shared" ref="E5:E26" si="4">ROUND(D5-G5,2)</f>
        <v>318.95999999999998</v>
      </c>
      <c r="F5" s="162">
        <f>0</f>
        <v>0</v>
      </c>
      <c r="G5" s="162">
        <f t="shared" si="3"/>
        <v>36.18</v>
      </c>
      <c r="H5" s="205">
        <f t="shared" ref="H5:H26" si="5">ROUND(H4-E5,2)</f>
        <v>8363.4</v>
      </c>
      <c r="L5" s="207" t="s">
        <v>1130</v>
      </c>
      <c r="M5" s="208">
        <v>46127</v>
      </c>
    </row>
    <row r="6" spans="1:13" ht="15.75">
      <c r="A6" s="161">
        <v>3</v>
      </c>
      <c r="B6" s="204">
        <f t="shared" si="0"/>
        <v>46234</v>
      </c>
      <c r="C6" s="161">
        <f t="shared" si="1"/>
        <v>2026</v>
      </c>
      <c r="D6" s="162">
        <f t="shared" si="2"/>
        <v>355.14</v>
      </c>
      <c r="E6" s="162">
        <f t="shared" si="4"/>
        <v>320.29000000000002</v>
      </c>
      <c r="F6" s="162">
        <f>0</f>
        <v>0</v>
      </c>
      <c r="G6" s="162">
        <f t="shared" si="3"/>
        <v>34.85</v>
      </c>
      <c r="H6" s="205">
        <f t="shared" si="5"/>
        <v>8043.11</v>
      </c>
      <c r="L6" s="207" t="s">
        <v>1131</v>
      </c>
      <c r="M6" s="210">
        <v>10000</v>
      </c>
    </row>
    <row r="7" spans="1:13" ht="15.75">
      <c r="A7" s="161">
        <v>4</v>
      </c>
      <c r="B7" s="204">
        <f t="shared" si="0"/>
        <v>46265</v>
      </c>
      <c r="C7" s="161">
        <f t="shared" si="1"/>
        <v>2026</v>
      </c>
      <c r="D7" s="162">
        <f t="shared" si="2"/>
        <v>355.14</v>
      </c>
      <c r="E7" s="162">
        <f t="shared" si="4"/>
        <v>321.63</v>
      </c>
      <c r="F7" s="162">
        <f>0</f>
        <v>0</v>
      </c>
      <c r="G7" s="162">
        <f t="shared" si="3"/>
        <v>33.51</v>
      </c>
      <c r="H7" s="205">
        <f t="shared" si="5"/>
        <v>7721.48</v>
      </c>
      <c r="L7" s="207" t="s">
        <v>1132</v>
      </c>
      <c r="M7" s="211">
        <v>0.1</v>
      </c>
    </row>
    <row r="8" spans="1:13" ht="15.75">
      <c r="A8" s="161">
        <v>5</v>
      </c>
      <c r="B8" s="204">
        <f t="shared" si="0"/>
        <v>46295</v>
      </c>
      <c r="C8" s="161">
        <f t="shared" si="1"/>
        <v>2026</v>
      </c>
      <c r="D8" s="162">
        <f t="shared" si="2"/>
        <v>355.14</v>
      </c>
      <c r="E8" s="162">
        <f t="shared" si="4"/>
        <v>322.97000000000003</v>
      </c>
      <c r="F8" s="162">
        <f>0</f>
        <v>0</v>
      </c>
      <c r="G8" s="162">
        <f t="shared" si="3"/>
        <v>32.17</v>
      </c>
      <c r="H8" s="205">
        <f t="shared" si="5"/>
        <v>7398.51</v>
      </c>
      <c r="L8" s="207" t="s">
        <v>1133</v>
      </c>
      <c r="M8" s="211">
        <v>0.1</v>
      </c>
    </row>
    <row r="9" spans="1:13" ht="15.75">
      <c r="A9" s="161">
        <v>6</v>
      </c>
      <c r="B9" s="204">
        <f t="shared" si="0"/>
        <v>46326</v>
      </c>
      <c r="C9" s="161">
        <f t="shared" si="1"/>
        <v>2026</v>
      </c>
      <c r="D9" s="162">
        <f t="shared" si="2"/>
        <v>355.14</v>
      </c>
      <c r="E9" s="162">
        <f t="shared" si="4"/>
        <v>324.31</v>
      </c>
      <c r="F9" s="162">
        <f>0</f>
        <v>0</v>
      </c>
      <c r="G9" s="162">
        <f t="shared" si="3"/>
        <v>30.83</v>
      </c>
      <c r="H9" s="205">
        <f t="shared" si="5"/>
        <v>7074.2</v>
      </c>
      <c r="L9" s="207" t="s">
        <v>1134</v>
      </c>
      <c r="M9" s="211">
        <v>0.05</v>
      </c>
    </row>
    <row r="10" spans="1:13" ht="15.75">
      <c r="A10" s="161">
        <v>7</v>
      </c>
      <c r="B10" s="204">
        <f t="shared" si="0"/>
        <v>46356</v>
      </c>
      <c r="C10" s="161">
        <f t="shared" si="1"/>
        <v>2026</v>
      </c>
      <c r="D10" s="162">
        <f t="shared" si="2"/>
        <v>355.14</v>
      </c>
      <c r="E10" s="162">
        <f t="shared" si="4"/>
        <v>325.66000000000003</v>
      </c>
      <c r="F10" s="162">
        <f>0</f>
        <v>0</v>
      </c>
      <c r="G10" s="162">
        <f t="shared" si="3"/>
        <v>29.48</v>
      </c>
      <c r="H10" s="205">
        <f t="shared" si="5"/>
        <v>6748.54</v>
      </c>
      <c r="L10" s="207" t="s">
        <v>1135</v>
      </c>
      <c r="M10" s="210">
        <v>2</v>
      </c>
    </row>
    <row r="11" spans="1:13" ht="16.5" thickBot="1">
      <c r="A11" s="161">
        <v>8</v>
      </c>
      <c r="B11" s="204">
        <f t="shared" si="0"/>
        <v>46387</v>
      </c>
      <c r="C11" s="161">
        <f t="shared" si="1"/>
        <v>2026</v>
      </c>
      <c r="D11" s="162">
        <f t="shared" si="2"/>
        <v>355.14</v>
      </c>
      <c r="E11" s="162">
        <f t="shared" si="4"/>
        <v>327.02</v>
      </c>
      <c r="F11" s="162">
        <f>0</f>
        <v>0</v>
      </c>
      <c r="G11" s="162">
        <f t="shared" si="3"/>
        <v>28.12</v>
      </c>
      <c r="H11" s="205">
        <f t="shared" si="5"/>
        <v>6421.52</v>
      </c>
      <c r="L11" s="212" t="s">
        <v>1136</v>
      </c>
      <c r="M11" s="213">
        <v>12</v>
      </c>
    </row>
    <row r="12" spans="1:13" ht="15.75">
      <c r="A12" s="161">
        <v>9</v>
      </c>
      <c r="B12" s="204">
        <f t="shared" si="0"/>
        <v>46418</v>
      </c>
      <c r="C12" s="161">
        <f t="shared" si="1"/>
        <v>2027</v>
      </c>
      <c r="D12" s="162">
        <f t="shared" si="2"/>
        <v>355.14</v>
      </c>
      <c r="E12" s="162">
        <f t="shared" si="4"/>
        <v>328.38</v>
      </c>
      <c r="F12" s="162">
        <f>0</f>
        <v>0</v>
      </c>
      <c r="G12" s="162">
        <f t="shared" si="3"/>
        <v>26.76</v>
      </c>
      <c r="H12" s="205">
        <f t="shared" si="5"/>
        <v>6093.14</v>
      </c>
    </row>
    <row r="13" spans="1:13" ht="15.75">
      <c r="A13" s="161">
        <v>10</v>
      </c>
      <c r="B13" s="204">
        <f t="shared" si="0"/>
        <v>46446</v>
      </c>
      <c r="C13" s="161">
        <f t="shared" si="1"/>
        <v>2027</v>
      </c>
      <c r="D13" s="162">
        <f t="shared" si="2"/>
        <v>355.14</v>
      </c>
      <c r="E13" s="162">
        <f t="shared" si="4"/>
        <v>329.75</v>
      </c>
      <c r="F13" s="162">
        <f>0</f>
        <v>0</v>
      </c>
      <c r="G13" s="162">
        <f t="shared" si="3"/>
        <v>25.39</v>
      </c>
      <c r="H13" s="205">
        <f t="shared" si="5"/>
        <v>5763.39</v>
      </c>
    </row>
    <row r="14" spans="1:13" ht="15.75">
      <c r="A14" s="161">
        <v>11</v>
      </c>
      <c r="B14" s="204">
        <f t="shared" si="0"/>
        <v>46477</v>
      </c>
      <c r="C14" s="161">
        <f t="shared" si="1"/>
        <v>2027</v>
      </c>
      <c r="D14" s="162">
        <f t="shared" si="2"/>
        <v>355.14</v>
      </c>
      <c r="E14" s="162">
        <f t="shared" si="4"/>
        <v>331.13</v>
      </c>
      <c r="F14" s="162">
        <f>0</f>
        <v>0</v>
      </c>
      <c r="G14" s="162">
        <f t="shared" si="3"/>
        <v>24.01</v>
      </c>
      <c r="H14" s="205">
        <f t="shared" si="5"/>
        <v>5432.26</v>
      </c>
    </row>
    <row r="15" spans="1:13" ht="15.75">
      <c r="A15" s="161">
        <v>12</v>
      </c>
      <c r="B15" s="204">
        <f t="shared" si="0"/>
        <v>46507</v>
      </c>
      <c r="C15" s="161">
        <f t="shared" si="1"/>
        <v>2027</v>
      </c>
      <c r="D15" s="162">
        <f t="shared" si="2"/>
        <v>355.14</v>
      </c>
      <c r="E15" s="162">
        <f t="shared" si="4"/>
        <v>332.51</v>
      </c>
      <c r="F15" s="162">
        <f>0</f>
        <v>0</v>
      </c>
      <c r="G15" s="162">
        <f t="shared" si="3"/>
        <v>22.63</v>
      </c>
      <c r="H15" s="205">
        <f t="shared" si="5"/>
        <v>5099.75</v>
      </c>
    </row>
    <row r="16" spans="1:13" ht="15.75">
      <c r="A16" s="161">
        <v>13</v>
      </c>
      <c r="B16" s="204">
        <f t="shared" si="0"/>
        <v>46538</v>
      </c>
      <c r="C16" s="161">
        <f t="shared" si="1"/>
        <v>2027</v>
      </c>
      <c r="D16" s="162">
        <f t="shared" si="2"/>
        <v>355.14</v>
      </c>
      <c r="E16" s="162">
        <f t="shared" si="4"/>
        <v>333.89</v>
      </c>
      <c r="F16" s="162">
        <f>0</f>
        <v>0</v>
      </c>
      <c r="G16" s="162">
        <f t="shared" si="3"/>
        <v>21.25</v>
      </c>
      <c r="H16" s="205">
        <f t="shared" si="5"/>
        <v>4765.8599999999997</v>
      </c>
    </row>
    <row r="17" spans="1:13" ht="15.75">
      <c r="A17" s="161">
        <v>14</v>
      </c>
      <c r="B17" s="204">
        <f t="shared" si="0"/>
        <v>46568</v>
      </c>
      <c r="C17" s="161">
        <f t="shared" si="1"/>
        <v>2027</v>
      </c>
      <c r="D17" s="162">
        <f t="shared" si="2"/>
        <v>355.14</v>
      </c>
      <c r="E17" s="162">
        <f t="shared" si="4"/>
        <v>335.28</v>
      </c>
      <c r="F17" s="162">
        <f>0</f>
        <v>0</v>
      </c>
      <c r="G17" s="162">
        <f t="shared" si="3"/>
        <v>19.86</v>
      </c>
      <c r="H17" s="205">
        <f t="shared" si="5"/>
        <v>4430.58</v>
      </c>
    </row>
    <row r="18" spans="1:13" ht="15.75">
      <c r="A18" s="161">
        <v>15</v>
      </c>
      <c r="B18" s="204">
        <f t="shared" si="0"/>
        <v>46599</v>
      </c>
      <c r="C18" s="161">
        <f t="shared" si="1"/>
        <v>2027</v>
      </c>
      <c r="D18" s="162">
        <f t="shared" si="2"/>
        <v>355.14</v>
      </c>
      <c r="E18" s="162">
        <f t="shared" si="4"/>
        <v>336.68</v>
      </c>
      <c r="F18" s="162">
        <f>0</f>
        <v>0</v>
      </c>
      <c r="G18" s="162">
        <f t="shared" si="3"/>
        <v>18.46</v>
      </c>
      <c r="H18" s="205">
        <f t="shared" si="5"/>
        <v>4093.9</v>
      </c>
    </row>
    <row r="19" spans="1:13" ht="15.75">
      <c r="A19" s="161">
        <v>16</v>
      </c>
      <c r="B19" s="204">
        <f t="shared" si="0"/>
        <v>46630</v>
      </c>
      <c r="C19" s="161">
        <f t="shared" si="1"/>
        <v>2027</v>
      </c>
      <c r="D19" s="162">
        <f t="shared" si="2"/>
        <v>355.14</v>
      </c>
      <c r="E19" s="162">
        <f t="shared" si="4"/>
        <v>338.08</v>
      </c>
      <c r="F19" s="162">
        <f>0</f>
        <v>0</v>
      </c>
      <c r="G19" s="162">
        <f t="shared" si="3"/>
        <v>17.059999999999999</v>
      </c>
      <c r="H19" s="205">
        <f t="shared" si="5"/>
        <v>3755.82</v>
      </c>
    </row>
    <row r="20" spans="1:13" ht="15.75">
      <c r="A20" s="161">
        <v>17</v>
      </c>
      <c r="B20" s="204">
        <f t="shared" si="0"/>
        <v>46660</v>
      </c>
      <c r="C20" s="161">
        <f t="shared" si="1"/>
        <v>2027</v>
      </c>
      <c r="D20" s="162">
        <f t="shared" si="2"/>
        <v>355.14</v>
      </c>
      <c r="E20" s="162">
        <f t="shared" si="4"/>
        <v>339.49</v>
      </c>
      <c r="F20" s="162">
        <f>0</f>
        <v>0</v>
      </c>
      <c r="G20" s="162">
        <f t="shared" si="3"/>
        <v>15.65</v>
      </c>
      <c r="H20" s="205">
        <f t="shared" si="5"/>
        <v>3416.33</v>
      </c>
    </row>
    <row r="21" spans="1:13" ht="15.75">
      <c r="A21" s="161">
        <v>18</v>
      </c>
      <c r="B21" s="204">
        <f t="shared" si="0"/>
        <v>46691</v>
      </c>
      <c r="C21" s="161">
        <f t="shared" si="1"/>
        <v>2027</v>
      </c>
      <c r="D21" s="162">
        <f t="shared" si="2"/>
        <v>355.14</v>
      </c>
      <c r="E21" s="162">
        <f t="shared" si="4"/>
        <v>340.91</v>
      </c>
      <c r="F21" s="162">
        <f>0</f>
        <v>0</v>
      </c>
      <c r="G21" s="162">
        <f t="shared" si="3"/>
        <v>14.23</v>
      </c>
      <c r="H21" s="205">
        <f t="shared" si="5"/>
        <v>3075.42</v>
      </c>
    </row>
    <row r="22" spans="1:13" ht="15.75">
      <c r="A22" s="161">
        <v>19</v>
      </c>
      <c r="B22" s="204">
        <f t="shared" si="0"/>
        <v>46721</v>
      </c>
      <c r="C22" s="161">
        <f t="shared" si="1"/>
        <v>2027</v>
      </c>
      <c r="D22" s="162">
        <f t="shared" si="2"/>
        <v>355.14</v>
      </c>
      <c r="E22" s="162">
        <f t="shared" si="4"/>
        <v>342.33</v>
      </c>
      <c r="F22" s="162">
        <f>0</f>
        <v>0</v>
      </c>
      <c r="G22" s="162">
        <f t="shared" si="3"/>
        <v>12.81</v>
      </c>
      <c r="H22" s="205">
        <f t="shared" si="5"/>
        <v>2733.09</v>
      </c>
    </row>
    <row r="23" spans="1:13" ht="15.75">
      <c r="A23" s="161">
        <v>20</v>
      </c>
      <c r="B23" s="204">
        <f t="shared" si="0"/>
        <v>46752</v>
      </c>
      <c r="C23" s="161">
        <f t="shared" si="1"/>
        <v>2027</v>
      </c>
      <c r="D23" s="162">
        <f t="shared" si="2"/>
        <v>355.14</v>
      </c>
      <c r="E23" s="162">
        <f t="shared" si="4"/>
        <v>343.75</v>
      </c>
      <c r="F23" s="162">
        <f>0</f>
        <v>0</v>
      </c>
      <c r="G23" s="162">
        <f t="shared" si="3"/>
        <v>11.39</v>
      </c>
      <c r="H23" s="205">
        <f t="shared" si="5"/>
        <v>2389.34</v>
      </c>
    </row>
    <row r="24" spans="1:13" ht="15.75">
      <c r="A24" s="161">
        <v>21</v>
      </c>
      <c r="B24" s="204">
        <f t="shared" si="0"/>
        <v>46783</v>
      </c>
      <c r="C24" s="161">
        <f t="shared" si="1"/>
        <v>2028</v>
      </c>
      <c r="D24" s="162">
        <f t="shared" si="2"/>
        <v>355.14</v>
      </c>
      <c r="E24" s="162">
        <f t="shared" si="4"/>
        <v>345.18</v>
      </c>
      <c r="F24" s="162">
        <f>0</f>
        <v>0</v>
      </c>
      <c r="G24" s="162">
        <f t="shared" si="3"/>
        <v>9.9600000000000009</v>
      </c>
      <c r="H24" s="205">
        <f t="shared" si="5"/>
        <v>2044.16</v>
      </c>
    </row>
    <row r="25" spans="1:13" ht="15.75">
      <c r="A25" s="161">
        <v>22</v>
      </c>
      <c r="B25" s="204">
        <f t="shared" si="0"/>
        <v>46812</v>
      </c>
      <c r="C25" s="161">
        <f t="shared" si="1"/>
        <v>2028</v>
      </c>
      <c r="D25" s="162">
        <f t="shared" si="2"/>
        <v>355.14</v>
      </c>
      <c r="E25" s="162">
        <f t="shared" si="4"/>
        <v>346.62</v>
      </c>
      <c r="F25" s="162">
        <f>0</f>
        <v>0</v>
      </c>
      <c r="G25" s="162">
        <f t="shared" si="3"/>
        <v>8.52</v>
      </c>
      <c r="H25" s="205">
        <f t="shared" si="5"/>
        <v>1697.54</v>
      </c>
    </row>
    <row r="26" spans="1:13" ht="15.75">
      <c r="A26" s="161">
        <v>23</v>
      </c>
      <c r="B26" s="204">
        <f t="shared" si="0"/>
        <v>46843</v>
      </c>
      <c r="C26" s="161">
        <f t="shared" si="1"/>
        <v>2028</v>
      </c>
      <c r="D26" s="162">
        <f t="shared" si="2"/>
        <v>355.14</v>
      </c>
      <c r="E26" s="162">
        <f t="shared" si="4"/>
        <v>348.07</v>
      </c>
      <c r="F26" s="162">
        <f>0</f>
        <v>0</v>
      </c>
      <c r="G26" s="162">
        <f t="shared" si="3"/>
        <v>7.07</v>
      </c>
      <c r="H26" s="205">
        <f t="shared" si="5"/>
        <v>1349.47</v>
      </c>
    </row>
    <row r="27" spans="1:13" ht="15.75">
      <c r="A27" s="161">
        <v>24</v>
      </c>
      <c r="B27" s="204">
        <f t="shared" si="0"/>
        <v>46873</v>
      </c>
      <c r="C27" s="161">
        <f t="shared" si="1"/>
        <v>2028</v>
      </c>
      <c r="D27" s="162">
        <f>ROUND(E27+G27,2)</f>
        <v>355.09</v>
      </c>
      <c r="E27" s="162">
        <f>ROUND(H26-ROUND($M$6*$M$8,2),2)</f>
        <v>349.47</v>
      </c>
      <c r="F27" s="162">
        <f>0</f>
        <v>0</v>
      </c>
      <c r="G27" s="162">
        <f t="shared" si="3"/>
        <v>5.62</v>
      </c>
      <c r="H27" s="205">
        <f>ROUND(H26-E27,2)</f>
        <v>1000</v>
      </c>
    </row>
    <row r="28" spans="1:13" ht="31.5">
      <c r="A28" s="138" t="s">
        <v>1074</v>
      </c>
      <c r="B28" s="204">
        <f>EOMONTH($M$5,A27)</f>
        <v>46873</v>
      </c>
      <c r="C28" s="161">
        <f t="shared" si="1"/>
        <v>2028</v>
      </c>
      <c r="D28" s="162">
        <v>1000</v>
      </c>
      <c r="E28" s="162">
        <f>0</f>
        <v>0</v>
      </c>
      <c r="F28" s="162">
        <v>1000</v>
      </c>
      <c r="G28" s="162">
        <f>0</f>
        <v>0</v>
      </c>
      <c r="H28" s="205">
        <f>0</f>
        <v>0</v>
      </c>
    </row>
    <row r="29" spans="1:13" ht="15.75">
      <c r="A29" s="138"/>
      <c r="B29" s="138"/>
      <c r="C29" s="138"/>
      <c r="D29" s="138"/>
      <c r="E29" s="138"/>
      <c r="F29" s="138"/>
      <c r="G29" s="138"/>
      <c r="H29" s="205"/>
    </row>
    <row r="30" spans="1:13" ht="15" thickBot="1"/>
    <row r="31" spans="1:13" ht="31.5">
      <c r="A31" s="51" t="s">
        <v>1075</v>
      </c>
      <c r="B31" s="51" t="s">
        <v>1072</v>
      </c>
      <c r="C31" s="50" t="s">
        <v>1073</v>
      </c>
      <c r="D31" s="50" t="s">
        <v>40</v>
      </c>
      <c r="E31" s="50" t="s">
        <v>43</v>
      </c>
      <c r="F31" s="50" t="s">
        <v>1074</v>
      </c>
      <c r="G31" s="50" t="s">
        <v>42</v>
      </c>
      <c r="H31" s="50" t="s">
        <v>1139</v>
      </c>
      <c r="L31" s="214" t="s">
        <v>1137</v>
      </c>
      <c r="M31" s="206"/>
    </row>
    <row r="32" spans="1:13" ht="31.5">
      <c r="A32" s="138" t="s">
        <v>990</v>
      </c>
      <c r="B32" s="204">
        <f>$M$32</f>
        <v>46127</v>
      </c>
      <c r="C32" s="161">
        <f>YEAR(B32)</f>
        <v>2026</v>
      </c>
      <c r="D32" s="162">
        <f>ROUND($M$33*$M$34,2)</f>
        <v>2000</v>
      </c>
      <c r="E32" s="162">
        <v>2000</v>
      </c>
      <c r="F32" s="162">
        <v>0</v>
      </c>
      <c r="G32" s="162">
        <v>0</v>
      </c>
      <c r="H32" s="205">
        <f>ROUND($M$33-D32,2)</f>
        <v>8000</v>
      </c>
      <c r="L32" s="207" t="s">
        <v>1130</v>
      </c>
      <c r="M32" s="208">
        <v>46127</v>
      </c>
    </row>
    <row r="33" spans="1:13" ht="15.75">
      <c r="A33" s="161">
        <v>1</v>
      </c>
      <c r="B33" s="204">
        <f t="shared" ref="B33:B44" si="6">EOMONTH($M$32,A33)</f>
        <v>46173</v>
      </c>
      <c r="C33" s="161">
        <f t="shared" ref="C33:C44" si="7">YEAR(B33)</f>
        <v>2026</v>
      </c>
      <c r="D33" s="162">
        <f t="shared" ref="D33:D43" si="8">ROUND(IF($M$36=0,(($M$33-ROUND($M$33*$M$34,2))-ROUND($M$33*$M$35,2))/($M$37*$M$38),(($M$36/$M$38)*(($M$33-ROUND($M$33*$M$34,2))-ROUND($M$33*$M$35,2)/(1+$M$36/$M$38)^($M$37*$M$38)))/(1-(1+$M$36/$M$38)^(-$M$37*$M$38))),2)</f>
        <v>583.33000000000004</v>
      </c>
      <c r="E33" s="162">
        <f>ROUND(D33-G33,2)</f>
        <v>583.33000000000004</v>
      </c>
      <c r="F33" s="162">
        <f>0</f>
        <v>0</v>
      </c>
      <c r="G33" s="162">
        <f t="shared" ref="G33:G43" si="9">ROUND(H32*($M$36/$M$38),2)</f>
        <v>0</v>
      </c>
      <c r="H33" s="205">
        <f>ROUND(H32-E33,2)</f>
        <v>7416.67</v>
      </c>
      <c r="L33" s="207" t="s">
        <v>1131</v>
      </c>
      <c r="M33" s="210">
        <v>10000</v>
      </c>
    </row>
    <row r="34" spans="1:13" ht="15.75">
      <c r="A34" s="161">
        <v>2</v>
      </c>
      <c r="B34" s="204">
        <f t="shared" si="6"/>
        <v>46203</v>
      </c>
      <c r="C34" s="161">
        <f t="shared" si="7"/>
        <v>2026</v>
      </c>
      <c r="D34" s="162">
        <f t="shared" si="8"/>
        <v>583.33000000000004</v>
      </c>
      <c r="E34" s="162">
        <f t="shared" ref="E34:E43" si="10">ROUND(D34-G34,2)</f>
        <v>583.33000000000004</v>
      </c>
      <c r="F34" s="162">
        <f>0</f>
        <v>0</v>
      </c>
      <c r="G34" s="162">
        <f t="shared" si="9"/>
        <v>0</v>
      </c>
      <c r="H34" s="205">
        <f>ROUND(H33-E34,2)</f>
        <v>6833.34</v>
      </c>
      <c r="L34" s="207" t="s">
        <v>1132</v>
      </c>
      <c r="M34" s="211">
        <v>0.2</v>
      </c>
    </row>
    <row r="35" spans="1:13" ht="15.75">
      <c r="A35" s="161">
        <v>3</v>
      </c>
      <c r="B35" s="204">
        <f t="shared" si="6"/>
        <v>46234</v>
      </c>
      <c r="C35" s="161">
        <f t="shared" si="7"/>
        <v>2026</v>
      </c>
      <c r="D35" s="162">
        <f t="shared" si="8"/>
        <v>583.33000000000004</v>
      </c>
      <c r="E35" s="162">
        <f t="shared" si="10"/>
        <v>583.33000000000004</v>
      </c>
      <c r="F35" s="162">
        <f>0</f>
        <v>0</v>
      </c>
      <c r="G35" s="162">
        <f t="shared" si="9"/>
        <v>0</v>
      </c>
      <c r="H35" s="205">
        <f t="shared" ref="H35:H43" si="11">ROUND(H34-E35,2)</f>
        <v>6250.01</v>
      </c>
      <c r="L35" s="207" t="s">
        <v>1133</v>
      </c>
      <c r="M35" s="211">
        <v>0.1</v>
      </c>
    </row>
    <row r="36" spans="1:13" ht="15.75">
      <c r="A36" s="161">
        <v>4</v>
      </c>
      <c r="B36" s="204">
        <f t="shared" si="6"/>
        <v>46265</v>
      </c>
      <c r="C36" s="161">
        <f t="shared" si="7"/>
        <v>2026</v>
      </c>
      <c r="D36" s="162">
        <f t="shared" si="8"/>
        <v>583.33000000000004</v>
      </c>
      <c r="E36" s="162">
        <f t="shared" si="10"/>
        <v>583.33000000000004</v>
      </c>
      <c r="F36" s="162">
        <f>0</f>
        <v>0</v>
      </c>
      <c r="G36" s="162">
        <f t="shared" si="9"/>
        <v>0</v>
      </c>
      <c r="H36" s="205">
        <f t="shared" si="11"/>
        <v>5666.68</v>
      </c>
      <c r="L36" s="207" t="s">
        <v>1134</v>
      </c>
      <c r="M36" s="211">
        <v>0</v>
      </c>
    </row>
    <row r="37" spans="1:13" ht="15.75">
      <c r="A37" s="161">
        <v>5</v>
      </c>
      <c r="B37" s="204">
        <f t="shared" si="6"/>
        <v>46295</v>
      </c>
      <c r="C37" s="161">
        <f t="shared" si="7"/>
        <v>2026</v>
      </c>
      <c r="D37" s="162">
        <f t="shared" si="8"/>
        <v>583.33000000000004</v>
      </c>
      <c r="E37" s="162">
        <f t="shared" si="10"/>
        <v>583.33000000000004</v>
      </c>
      <c r="F37" s="162">
        <f>0</f>
        <v>0</v>
      </c>
      <c r="G37" s="162">
        <f t="shared" si="9"/>
        <v>0</v>
      </c>
      <c r="H37" s="205">
        <f t="shared" si="11"/>
        <v>5083.3500000000004</v>
      </c>
      <c r="L37" s="207" t="s">
        <v>1135</v>
      </c>
      <c r="M37" s="210">
        <v>1</v>
      </c>
    </row>
    <row r="38" spans="1:13" ht="16.5" thickBot="1">
      <c r="A38" s="161">
        <v>6</v>
      </c>
      <c r="B38" s="204">
        <f t="shared" si="6"/>
        <v>46326</v>
      </c>
      <c r="C38" s="161">
        <f t="shared" si="7"/>
        <v>2026</v>
      </c>
      <c r="D38" s="162">
        <f t="shared" si="8"/>
        <v>583.33000000000004</v>
      </c>
      <c r="E38" s="162">
        <f t="shared" si="10"/>
        <v>583.33000000000004</v>
      </c>
      <c r="F38" s="162">
        <f>0</f>
        <v>0</v>
      </c>
      <c r="G38" s="162">
        <f t="shared" si="9"/>
        <v>0</v>
      </c>
      <c r="H38" s="205">
        <f t="shared" si="11"/>
        <v>4500.0200000000004</v>
      </c>
      <c r="L38" s="212" t="s">
        <v>1136</v>
      </c>
      <c r="M38" s="213">
        <v>12</v>
      </c>
    </row>
    <row r="39" spans="1:13" ht="15.75">
      <c r="A39" s="161">
        <v>7</v>
      </c>
      <c r="B39" s="204">
        <f t="shared" si="6"/>
        <v>46356</v>
      </c>
      <c r="C39" s="161">
        <f t="shared" si="7"/>
        <v>2026</v>
      </c>
      <c r="D39" s="162">
        <f t="shared" si="8"/>
        <v>583.33000000000004</v>
      </c>
      <c r="E39" s="162">
        <f t="shared" si="10"/>
        <v>583.33000000000004</v>
      </c>
      <c r="F39" s="162">
        <f>0</f>
        <v>0</v>
      </c>
      <c r="G39" s="162">
        <f t="shared" si="9"/>
        <v>0</v>
      </c>
      <c r="H39" s="205">
        <f t="shared" si="11"/>
        <v>3916.69</v>
      </c>
    </row>
    <row r="40" spans="1:13" ht="15.75">
      <c r="A40" s="161">
        <v>8</v>
      </c>
      <c r="B40" s="204">
        <f t="shared" si="6"/>
        <v>46387</v>
      </c>
      <c r="C40" s="161">
        <f t="shared" si="7"/>
        <v>2026</v>
      </c>
      <c r="D40" s="162">
        <f t="shared" si="8"/>
        <v>583.33000000000004</v>
      </c>
      <c r="E40" s="162">
        <f t="shared" si="10"/>
        <v>583.33000000000004</v>
      </c>
      <c r="F40" s="162">
        <f>0</f>
        <v>0</v>
      </c>
      <c r="G40" s="162">
        <f t="shared" si="9"/>
        <v>0</v>
      </c>
      <c r="H40" s="205">
        <f t="shared" si="11"/>
        <v>3333.36</v>
      </c>
    </row>
    <row r="41" spans="1:13" ht="15.75">
      <c r="A41" s="161">
        <v>9</v>
      </c>
      <c r="B41" s="204">
        <f t="shared" si="6"/>
        <v>46418</v>
      </c>
      <c r="C41" s="161">
        <f t="shared" si="7"/>
        <v>2027</v>
      </c>
      <c r="D41" s="162">
        <f t="shared" si="8"/>
        <v>583.33000000000004</v>
      </c>
      <c r="E41" s="162">
        <f t="shared" si="10"/>
        <v>583.33000000000004</v>
      </c>
      <c r="F41" s="162">
        <f>0</f>
        <v>0</v>
      </c>
      <c r="G41" s="162">
        <f t="shared" si="9"/>
        <v>0</v>
      </c>
      <c r="H41" s="205">
        <f t="shared" si="11"/>
        <v>2750.03</v>
      </c>
    </row>
    <row r="42" spans="1:13" ht="15.75">
      <c r="A42" s="161">
        <v>10</v>
      </c>
      <c r="B42" s="204">
        <f t="shared" si="6"/>
        <v>46446</v>
      </c>
      <c r="C42" s="161">
        <f t="shared" si="7"/>
        <v>2027</v>
      </c>
      <c r="D42" s="162">
        <f t="shared" si="8"/>
        <v>583.33000000000004</v>
      </c>
      <c r="E42" s="162">
        <f t="shared" si="10"/>
        <v>583.33000000000004</v>
      </c>
      <c r="F42" s="162">
        <f>0</f>
        <v>0</v>
      </c>
      <c r="G42" s="162">
        <f t="shared" si="9"/>
        <v>0</v>
      </c>
      <c r="H42" s="205">
        <f t="shared" si="11"/>
        <v>2166.6999999999998</v>
      </c>
    </row>
    <row r="43" spans="1:13" ht="15.75">
      <c r="A43" s="161">
        <v>11</v>
      </c>
      <c r="B43" s="204">
        <f t="shared" si="6"/>
        <v>46477</v>
      </c>
      <c r="C43" s="161">
        <f t="shared" si="7"/>
        <v>2027</v>
      </c>
      <c r="D43" s="162">
        <f t="shared" si="8"/>
        <v>583.33000000000004</v>
      </c>
      <c r="E43" s="162">
        <f t="shared" si="10"/>
        <v>583.33000000000004</v>
      </c>
      <c r="F43" s="162">
        <f>0</f>
        <v>0</v>
      </c>
      <c r="G43" s="162">
        <f t="shared" si="9"/>
        <v>0</v>
      </c>
      <c r="H43" s="205">
        <f t="shared" si="11"/>
        <v>1583.37</v>
      </c>
    </row>
    <row r="44" spans="1:13" ht="15.75">
      <c r="A44" s="161">
        <v>12</v>
      </c>
      <c r="B44" s="204">
        <f t="shared" si="6"/>
        <v>46507</v>
      </c>
      <c r="C44" s="161">
        <f t="shared" si="7"/>
        <v>2027</v>
      </c>
      <c r="D44" s="162">
        <f>ROUND(E44+G44,2)</f>
        <v>583.37</v>
      </c>
      <c r="E44" s="162">
        <f>ROUND(H43-ROUND($M$33*$M$35,2),2)</f>
        <v>583.37</v>
      </c>
      <c r="F44" s="162">
        <f>0</f>
        <v>0</v>
      </c>
      <c r="G44" s="162">
        <f>ROUND(H43*($M$36/$M$38),2)</f>
        <v>0</v>
      </c>
      <c r="H44" s="205">
        <f>ROUND(H43-E44,2)</f>
        <v>1000</v>
      </c>
    </row>
    <row r="45" spans="1:13" ht="31.5">
      <c r="A45" s="138" t="s">
        <v>1074</v>
      </c>
      <c r="B45" s="204">
        <f>EOMONTH($M$32,A44)</f>
        <v>46507</v>
      </c>
      <c r="C45" s="161">
        <f>YEAR(B45)</f>
        <v>2027</v>
      </c>
      <c r="D45" s="162">
        <v>1000</v>
      </c>
      <c r="E45" s="162">
        <f>0</f>
        <v>0</v>
      </c>
      <c r="F45" s="162">
        <v>1000</v>
      </c>
      <c r="G45" s="162">
        <f>0</f>
        <v>0</v>
      </c>
      <c r="H45" s="205">
        <f>0</f>
        <v>0</v>
      </c>
    </row>
    <row r="49" spans="1:13" ht="31.5">
      <c r="A49" s="51" t="s">
        <v>1075</v>
      </c>
      <c r="B49" s="51" t="s">
        <v>1072</v>
      </c>
      <c r="C49" s="50" t="s">
        <v>1073</v>
      </c>
      <c r="D49" s="50" t="s">
        <v>40</v>
      </c>
      <c r="E49" s="50" t="s">
        <v>43</v>
      </c>
      <c r="F49" s="50" t="s">
        <v>1074</v>
      </c>
      <c r="G49" s="50" t="s">
        <v>42</v>
      </c>
      <c r="H49" s="50" t="s">
        <v>1139</v>
      </c>
    </row>
    <row r="50" spans="1:13" ht="31.5">
      <c r="A50" s="138" t="s">
        <v>990</v>
      </c>
      <c r="B50" s="204">
        <f>$M$53</f>
        <v>46127</v>
      </c>
      <c r="C50" s="161">
        <f>YEAR(B50)</f>
        <v>2026</v>
      </c>
      <c r="D50" s="162">
        <f>ROUND($M$54*$M$55,2)</f>
        <v>1500</v>
      </c>
      <c r="E50" s="162">
        <v>1500</v>
      </c>
      <c r="F50" s="162">
        <v>0</v>
      </c>
      <c r="G50" s="162">
        <v>0</v>
      </c>
      <c r="H50" s="205">
        <f>ROUND($M$54-D50,2)</f>
        <v>8500</v>
      </c>
    </row>
    <row r="51" spans="1:13" ht="16.5" thickBot="1">
      <c r="A51" s="161">
        <v>1</v>
      </c>
      <c r="B51" s="204">
        <f t="shared" ref="B51:B86" si="12">EOMONTH($M$53,A51)</f>
        <v>46173</v>
      </c>
      <c r="C51" s="161">
        <f t="shared" ref="C51:C86" si="13">YEAR(B51)</f>
        <v>2026</v>
      </c>
      <c r="D51" s="162">
        <f t="shared" ref="D51:D85" si="14">ROUND(IF($M$57=0,(($M$54-ROUND($M$54*$M$55,2))-ROUND($M$54*$M$56,2))/($M$58*$M$59),(($M$57/$M$59)*(($M$54-ROUND($M$54*$M$55,2))-ROUND($M$54*$M$56,2)/(1+$M$57/$M$59)^($M$58*$M$59)))/(1-(1+$M$57/$M$59)^(-$M$58*$M$59))),2)</f>
        <v>190.23</v>
      </c>
      <c r="E51" s="162">
        <f>ROUND(D51-G51,2)</f>
        <v>166.64</v>
      </c>
      <c r="F51" s="162">
        <f>0</f>
        <v>0</v>
      </c>
      <c r="G51" s="162">
        <f t="shared" ref="G51:G86" si="15">ROUND(H50*($M$57/$M$59),2)</f>
        <v>23.59</v>
      </c>
      <c r="H51" s="205">
        <f>ROUND(H50-E51,2)</f>
        <v>8333.36</v>
      </c>
    </row>
    <row r="52" spans="1:13" ht="15.75">
      <c r="A52" s="161">
        <v>2</v>
      </c>
      <c r="B52" s="204">
        <f t="shared" si="12"/>
        <v>46203</v>
      </c>
      <c r="C52" s="161">
        <f t="shared" si="13"/>
        <v>2026</v>
      </c>
      <c r="D52" s="162">
        <f t="shared" si="14"/>
        <v>190.23</v>
      </c>
      <c r="E52" s="162">
        <f t="shared" ref="E52:E85" si="16">ROUND(D52-G52,2)</f>
        <v>167.1</v>
      </c>
      <c r="F52" s="162">
        <f>0</f>
        <v>0</v>
      </c>
      <c r="G52" s="162">
        <f t="shared" si="15"/>
        <v>23.13</v>
      </c>
      <c r="H52" s="205">
        <f>ROUND(H51-E52,2)</f>
        <v>8166.26</v>
      </c>
      <c r="L52" s="214" t="s">
        <v>1138</v>
      </c>
      <c r="M52" s="156"/>
    </row>
    <row r="53" spans="1:13" ht="15.75">
      <c r="A53" s="161">
        <v>3</v>
      </c>
      <c r="B53" s="204">
        <f t="shared" si="12"/>
        <v>46234</v>
      </c>
      <c r="C53" s="161">
        <f t="shared" si="13"/>
        <v>2026</v>
      </c>
      <c r="D53" s="162">
        <f t="shared" si="14"/>
        <v>190.23</v>
      </c>
      <c r="E53" s="162">
        <f t="shared" si="16"/>
        <v>167.57</v>
      </c>
      <c r="F53" s="162">
        <f>0</f>
        <v>0</v>
      </c>
      <c r="G53" s="162">
        <f t="shared" si="15"/>
        <v>22.66</v>
      </c>
      <c r="H53" s="205">
        <f t="shared" ref="H53:H86" si="17">ROUND(H52-E53,2)</f>
        <v>7998.69</v>
      </c>
      <c r="L53" s="207" t="s">
        <v>1130</v>
      </c>
      <c r="M53" s="157">
        <v>46127</v>
      </c>
    </row>
    <row r="54" spans="1:13" ht="15.75">
      <c r="A54" s="161">
        <v>4</v>
      </c>
      <c r="B54" s="204">
        <f t="shared" si="12"/>
        <v>46265</v>
      </c>
      <c r="C54" s="161">
        <f t="shared" si="13"/>
        <v>2026</v>
      </c>
      <c r="D54" s="162">
        <f t="shared" si="14"/>
        <v>190.23</v>
      </c>
      <c r="E54" s="162">
        <f t="shared" si="16"/>
        <v>168.03</v>
      </c>
      <c r="F54" s="162">
        <f>0</f>
        <v>0</v>
      </c>
      <c r="G54" s="162">
        <f t="shared" si="15"/>
        <v>22.2</v>
      </c>
      <c r="H54" s="205">
        <f t="shared" si="17"/>
        <v>7830.66</v>
      </c>
      <c r="L54" s="207" t="s">
        <v>1131</v>
      </c>
      <c r="M54" s="158">
        <v>10000</v>
      </c>
    </row>
    <row r="55" spans="1:13" ht="15.75">
      <c r="A55" s="161">
        <v>5</v>
      </c>
      <c r="B55" s="204">
        <f t="shared" si="12"/>
        <v>46295</v>
      </c>
      <c r="C55" s="161">
        <f t="shared" si="13"/>
        <v>2026</v>
      </c>
      <c r="D55" s="162">
        <f t="shared" si="14"/>
        <v>190.23</v>
      </c>
      <c r="E55" s="162">
        <f t="shared" si="16"/>
        <v>168.5</v>
      </c>
      <c r="F55" s="162">
        <f>0</f>
        <v>0</v>
      </c>
      <c r="G55" s="162">
        <f t="shared" si="15"/>
        <v>21.73</v>
      </c>
      <c r="H55" s="205">
        <f t="shared" si="17"/>
        <v>7662.16</v>
      </c>
      <c r="L55" s="207" t="s">
        <v>1132</v>
      </c>
      <c r="M55" s="163">
        <v>0.15</v>
      </c>
    </row>
    <row r="56" spans="1:13" ht="15.75">
      <c r="A56" s="161">
        <v>6</v>
      </c>
      <c r="B56" s="204">
        <f t="shared" si="12"/>
        <v>46326</v>
      </c>
      <c r="C56" s="161">
        <f t="shared" si="13"/>
        <v>2026</v>
      </c>
      <c r="D56" s="162">
        <f t="shared" si="14"/>
        <v>190.23</v>
      </c>
      <c r="E56" s="162">
        <f t="shared" si="16"/>
        <v>168.97</v>
      </c>
      <c r="F56" s="162">
        <f>0</f>
        <v>0</v>
      </c>
      <c r="G56" s="162">
        <f t="shared" si="15"/>
        <v>21.26</v>
      </c>
      <c r="H56" s="205">
        <f t="shared" si="17"/>
        <v>7493.19</v>
      </c>
      <c r="L56" s="207" t="s">
        <v>1133</v>
      </c>
      <c r="M56" s="163">
        <v>0.22</v>
      </c>
    </row>
    <row r="57" spans="1:13" ht="15.75">
      <c r="A57" s="161">
        <v>7</v>
      </c>
      <c r="B57" s="204">
        <f t="shared" si="12"/>
        <v>46356</v>
      </c>
      <c r="C57" s="161">
        <f t="shared" si="13"/>
        <v>2026</v>
      </c>
      <c r="D57" s="162">
        <f t="shared" si="14"/>
        <v>190.23</v>
      </c>
      <c r="E57" s="162">
        <f t="shared" si="16"/>
        <v>169.44</v>
      </c>
      <c r="F57" s="162">
        <f>0</f>
        <v>0</v>
      </c>
      <c r="G57" s="162">
        <f t="shared" si="15"/>
        <v>20.79</v>
      </c>
      <c r="H57" s="205">
        <f t="shared" si="17"/>
        <v>7323.75</v>
      </c>
      <c r="L57" s="207" t="s">
        <v>1134</v>
      </c>
      <c r="M57" s="232">
        <f>3.33/100</f>
        <v>3.3300000000000003E-2</v>
      </c>
    </row>
    <row r="58" spans="1:13" ht="15.75">
      <c r="A58" s="161">
        <v>8</v>
      </c>
      <c r="B58" s="204">
        <f t="shared" si="12"/>
        <v>46387</v>
      </c>
      <c r="C58" s="161">
        <f t="shared" si="13"/>
        <v>2026</v>
      </c>
      <c r="D58" s="162">
        <f t="shared" si="14"/>
        <v>190.23</v>
      </c>
      <c r="E58" s="162">
        <f t="shared" si="16"/>
        <v>169.91</v>
      </c>
      <c r="F58" s="162">
        <f>0</f>
        <v>0</v>
      </c>
      <c r="G58" s="162">
        <f t="shared" si="15"/>
        <v>20.32</v>
      </c>
      <c r="H58" s="205">
        <f t="shared" si="17"/>
        <v>7153.84</v>
      </c>
      <c r="L58" s="207" t="s">
        <v>1135</v>
      </c>
      <c r="M58" s="158">
        <v>3</v>
      </c>
    </row>
    <row r="59" spans="1:13" ht="16.5" thickBot="1">
      <c r="A59" s="161">
        <v>9</v>
      </c>
      <c r="B59" s="204">
        <f t="shared" si="12"/>
        <v>46418</v>
      </c>
      <c r="C59" s="161">
        <f t="shared" si="13"/>
        <v>2027</v>
      </c>
      <c r="D59" s="162">
        <f t="shared" si="14"/>
        <v>190.23</v>
      </c>
      <c r="E59" s="162">
        <f>ROUND(D59-G59,2)</f>
        <v>170.38</v>
      </c>
      <c r="F59" s="162">
        <f>0</f>
        <v>0</v>
      </c>
      <c r="G59" s="162">
        <f t="shared" si="15"/>
        <v>19.850000000000001</v>
      </c>
      <c r="H59" s="205">
        <f t="shared" si="17"/>
        <v>6983.46</v>
      </c>
      <c r="L59" s="212" t="s">
        <v>1136</v>
      </c>
      <c r="M59" s="159">
        <v>12</v>
      </c>
    </row>
    <row r="60" spans="1:13" ht="15.75">
      <c r="A60" s="161">
        <v>10</v>
      </c>
      <c r="B60" s="204">
        <f t="shared" si="12"/>
        <v>46446</v>
      </c>
      <c r="C60" s="161">
        <f t="shared" si="13"/>
        <v>2027</v>
      </c>
      <c r="D60" s="162">
        <f t="shared" si="14"/>
        <v>190.23</v>
      </c>
      <c r="E60" s="162">
        <f t="shared" si="16"/>
        <v>170.85</v>
      </c>
      <c r="F60" s="162">
        <f>0</f>
        <v>0</v>
      </c>
      <c r="G60" s="162">
        <f t="shared" si="15"/>
        <v>19.38</v>
      </c>
      <c r="H60" s="205">
        <f t="shared" si="17"/>
        <v>6812.61</v>
      </c>
    </row>
    <row r="61" spans="1:13" ht="15.75">
      <c r="A61" s="161">
        <v>11</v>
      </c>
      <c r="B61" s="204">
        <f t="shared" si="12"/>
        <v>46477</v>
      </c>
      <c r="C61" s="161">
        <f t="shared" si="13"/>
        <v>2027</v>
      </c>
      <c r="D61" s="162">
        <f t="shared" si="14"/>
        <v>190.23</v>
      </c>
      <c r="E61" s="162">
        <f t="shared" si="16"/>
        <v>171.33</v>
      </c>
      <c r="F61" s="162">
        <f>0</f>
        <v>0</v>
      </c>
      <c r="G61" s="162">
        <f t="shared" si="15"/>
        <v>18.899999999999999</v>
      </c>
      <c r="H61" s="205">
        <f t="shared" si="17"/>
        <v>6641.28</v>
      </c>
    </row>
    <row r="62" spans="1:13" ht="15.75">
      <c r="A62" s="161">
        <v>12</v>
      </c>
      <c r="B62" s="204">
        <f t="shared" si="12"/>
        <v>46507</v>
      </c>
      <c r="C62" s="161">
        <f t="shared" si="13"/>
        <v>2027</v>
      </c>
      <c r="D62" s="162">
        <f t="shared" si="14"/>
        <v>190.23</v>
      </c>
      <c r="E62" s="162">
        <f t="shared" si="16"/>
        <v>171.8</v>
      </c>
      <c r="F62" s="162">
        <f>0</f>
        <v>0</v>
      </c>
      <c r="G62" s="162">
        <f t="shared" si="15"/>
        <v>18.43</v>
      </c>
      <c r="H62" s="205">
        <f t="shared" si="17"/>
        <v>6469.48</v>
      </c>
    </row>
    <row r="63" spans="1:13" ht="15.75">
      <c r="A63" s="161">
        <v>13</v>
      </c>
      <c r="B63" s="204">
        <f t="shared" si="12"/>
        <v>46538</v>
      </c>
      <c r="C63" s="161">
        <f t="shared" si="13"/>
        <v>2027</v>
      </c>
      <c r="D63" s="162">
        <f t="shared" si="14"/>
        <v>190.23</v>
      </c>
      <c r="E63" s="162">
        <f t="shared" si="16"/>
        <v>172.28</v>
      </c>
      <c r="F63" s="162">
        <f>0</f>
        <v>0</v>
      </c>
      <c r="G63" s="162">
        <f t="shared" si="15"/>
        <v>17.95</v>
      </c>
      <c r="H63" s="205">
        <f t="shared" si="17"/>
        <v>6297.2</v>
      </c>
    </row>
    <row r="64" spans="1:13" ht="15.75">
      <c r="A64" s="161">
        <v>14</v>
      </c>
      <c r="B64" s="204">
        <f t="shared" si="12"/>
        <v>46568</v>
      </c>
      <c r="C64" s="161">
        <f t="shared" si="13"/>
        <v>2027</v>
      </c>
      <c r="D64" s="162">
        <f t="shared" si="14"/>
        <v>190.23</v>
      </c>
      <c r="E64" s="162">
        <f t="shared" si="16"/>
        <v>172.76</v>
      </c>
      <c r="F64" s="162">
        <f>0</f>
        <v>0</v>
      </c>
      <c r="G64" s="162">
        <f t="shared" si="15"/>
        <v>17.47</v>
      </c>
      <c r="H64" s="205">
        <f t="shared" si="17"/>
        <v>6124.44</v>
      </c>
    </row>
    <row r="65" spans="1:8" ht="15.75">
      <c r="A65" s="161">
        <v>15</v>
      </c>
      <c r="B65" s="204">
        <f t="shared" si="12"/>
        <v>46599</v>
      </c>
      <c r="C65" s="161">
        <f t="shared" si="13"/>
        <v>2027</v>
      </c>
      <c r="D65" s="162">
        <f t="shared" si="14"/>
        <v>190.23</v>
      </c>
      <c r="E65" s="162">
        <f t="shared" si="16"/>
        <v>173.23</v>
      </c>
      <c r="F65" s="162">
        <f>0</f>
        <v>0</v>
      </c>
      <c r="G65" s="162">
        <f t="shared" si="15"/>
        <v>17</v>
      </c>
      <c r="H65" s="205">
        <f t="shared" si="17"/>
        <v>5951.21</v>
      </c>
    </row>
    <row r="66" spans="1:8" ht="15.75">
      <c r="A66" s="161">
        <v>16</v>
      </c>
      <c r="B66" s="204">
        <f t="shared" si="12"/>
        <v>46630</v>
      </c>
      <c r="C66" s="161">
        <f t="shared" si="13"/>
        <v>2027</v>
      </c>
      <c r="D66" s="162">
        <f t="shared" si="14"/>
        <v>190.23</v>
      </c>
      <c r="E66" s="162">
        <f t="shared" si="16"/>
        <v>173.72</v>
      </c>
      <c r="F66" s="162">
        <f>0</f>
        <v>0</v>
      </c>
      <c r="G66" s="162">
        <f t="shared" si="15"/>
        <v>16.510000000000002</v>
      </c>
      <c r="H66" s="205">
        <f t="shared" si="17"/>
        <v>5777.49</v>
      </c>
    </row>
    <row r="67" spans="1:8" ht="15.75">
      <c r="A67" s="161">
        <v>17</v>
      </c>
      <c r="B67" s="204">
        <f t="shared" si="12"/>
        <v>46660</v>
      </c>
      <c r="C67" s="161">
        <f t="shared" si="13"/>
        <v>2027</v>
      </c>
      <c r="D67" s="162">
        <f t="shared" si="14"/>
        <v>190.23</v>
      </c>
      <c r="E67" s="162">
        <f t="shared" si="16"/>
        <v>174.2</v>
      </c>
      <c r="F67" s="162">
        <f>0</f>
        <v>0</v>
      </c>
      <c r="G67" s="162">
        <f t="shared" si="15"/>
        <v>16.03</v>
      </c>
      <c r="H67" s="205">
        <f t="shared" si="17"/>
        <v>5603.29</v>
      </c>
    </row>
    <row r="68" spans="1:8" ht="15.75">
      <c r="A68" s="161">
        <v>18</v>
      </c>
      <c r="B68" s="204">
        <f t="shared" si="12"/>
        <v>46691</v>
      </c>
      <c r="C68" s="161">
        <f t="shared" si="13"/>
        <v>2027</v>
      </c>
      <c r="D68" s="162">
        <f t="shared" si="14"/>
        <v>190.23</v>
      </c>
      <c r="E68" s="162">
        <f t="shared" si="16"/>
        <v>174.68</v>
      </c>
      <c r="F68" s="162">
        <f>0</f>
        <v>0</v>
      </c>
      <c r="G68" s="162">
        <f t="shared" si="15"/>
        <v>15.55</v>
      </c>
      <c r="H68" s="205">
        <f t="shared" si="17"/>
        <v>5428.61</v>
      </c>
    </row>
    <row r="69" spans="1:8" ht="15.75">
      <c r="A69" s="161">
        <v>19</v>
      </c>
      <c r="B69" s="204">
        <f t="shared" si="12"/>
        <v>46721</v>
      </c>
      <c r="C69" s="161">
        <f t="shared" si="13"/>
        <v>2027</v>
      </c>
      <c r="D69" s="162">
        <f t="shared" si="14"/>
        <v>190.23</v>
      </c>
      <c r="E69" s="162">
        <f t="shared" si="16"/>
        <v>175.17</v>
      </c>
      <c r="F69" s="162">
        <f>0</f>
        <v>0</v>
      </c>
      <c r="G69" s="162">
        <f t="shared" si="15"/>
        <v>15.06</v>
      </c>
      <c r="H69" s="205">
        <f t="shared" si="17"/>
        <v>5253.44</v>
      </c>
    </row>
    <row r="70" spans="1:8" ht="15.75">
      <c r="A70" s="161">
        <v>20</v>
      </c>
      <c r="B70" s="204">
        <f t="shared" si="12"/>
        <v>46752</v>
      </c>
      <c r="C70" s="161">
        <f t="shared" si="13"/>
        <v>2027</v>
      </c>
      <c r="D70" s="162">
        <f t="shared" si="14"/>
        <v>190.23</v>
      </c>
      <c r="E70" s="162">
        <f t="shared" si="16"/>
        <v>175.65</v>
      </c>
      <c r="F70" s="162">
        <f>0</f>
        <v>0</v>
      </c>
      <c r="G70" s="162">
        <f t="shared" si="15"/>
        <v>14.58</v>
      </c>
      <c r="H70" s="205">
        <f t="shared" si="17"/>
        <v>5077.79</v>
      </c>
    </row>
    <row r="71" spans="1:8" ht="15.75">
      <c r="A71" s="161">
        <v>21</v>
      </c>
      <c r="B71" s="204">
        <f t="shared" si="12"/>
        <v>46783</v>
      </c>
      <c r="C71" s="161">
        <f t="shared" si="13"/>
        <v>2028</v>
      </c>
      <c r="D71" s="162">
        <f t="shared" si="14"/>
        <v>190.23</v>
      </c>
      <c r="E71" s="162">
        <f t="shared" si="16"/>
        <v>176.14</v>
      </c>
      <c r="F71" s="162">
        <f>0</f>
        <v>0</v>
      </c>
      <c r="G71" s="162">
        <f t="shared" si="15"/>
        <v>14.09</v>
      </c>
      <c r="H71" s="205">
        <f t="shared" si="17"/>
        <v>4901.6499999999996</v>
      </c>
    </row>
    <row r="72" spans="1:8" ht="15.75">
      <c r="A72" s="161">
        <v>22</v>
      </c>
      <c r="B72" s="204">
        <f t="shared" si="12"/>
        <v>46812</v>
      </c>
      <c r="C72" s="161">
        <f t="shared" si="13"/>
        <v>2028</v>
      </c>
      <c r="D72" s="162">
        <f t="shared" si="14"/>
        <v>190.23</v>
      </c>
      <c r="E72" s="162">
        <f t="shared" si="16"/>
        <v>176.63</v>
      </c>
      <c r="F72" s="162">
        <f>0</f>
        <v>0</v>
      </c>
      <c r="G72" s="162">
        <f t="shared" si="15"/>
        <v>13.6</v>
      </c>
      <c r="H72" s="205">
        <f t="shared" si="17"/>
        <v>4725.0200000000004</v>
      </c>
    </row>
    <row r="73" spans="1:8" ht="15.75">
      <c r="A73" s="161">
        <v>23</v>
      </c>
      <c r="B73" s="204">
        <f t="shared" si="12"/>
        <v>46843</v>
      </c>
      <c r="C73" s="161">
        <f t="shared" si="13"/>
        <v>2028</v>
      </c>
      <c r="D73" s="162">
        <f t="shared" si="14"/>
        <v>190.23</v>
      </c>
      <c r="E73" s="162">
        <f t="shared" si="16"/>
        <v>177.12</v>
      </c>
      <c r="F73" s="162">
        <f>0</f>
        <v>0</v>
      </c>
      <c r="G73" s="162">
        <f t="shared" si="15"/>
        <v>13.11</v>
      </c>
      <c r="H73" s="205">
        <f t="shared" si="17"/>
        <v>4547.8999999999996</v>
      </c>
    </row>
    <row r="74" spans="1:8" ht="15.75">
      <c r="A74" s="161">
        <v>24</v>
      </c>
      <c r="B74" s="204">
        <f t="shared" si="12"/>
        <v>46873</v>
      </c>
      <c r="C74" s="161">
        <f t="shared" si="13"/>
        <v>2028</v>
      </c>
      <c r="D74" s="162">
        <f t="shared" si="14"/>
        <v>190.23</v>
      </c>
      <c r="E74" s="162">
        <f t="shared" si="16"/>
        <v>177.61</v>
      </c>
      <c r="F74" s="162">
        <f>0</f>
        <v>0</v>
      </c>
      <c r="G74" s="162">
        <f t="shared" si="15"/>
        <v>12.62</v>
      </c>
      <c r="H74" s="205">
        <f t="shared" si="17"/>
        <v>4370.29</v>
      </c>
    </row>
    <row r="75" spans="1:8" ht="15.75">
      <c r="A75" s="161">
        <v>25</v>
      </c>
      <c r="B75" s="204">
        <f t="shared" si="12"/>
        <v>46904</v>
      </c>
      <c r="C75" s="161">
        <f t="shared" si="13"/>
        <v>2028</v>
      </c>
      <c r="D75" s="162">
        <f t="shared" si="14"/>
        <v>190.23</v>
      </c>
      <c r="E75" s="162">
        <f t="shared" si="16"/>
        <v>178.1</v>
      </c>
      <c r="F75" s="162">
        <f>0</f>
        <v>0</v>
      </c>
      <c r="G75" s="162">
        <f t="shared" si="15"/>
        <v>12.13</v>
      </c>
      <c r="H75" s="205">
        <f t="shared" si="17"/>
        <v>4192.1899999999996</v>
      </c>
    </row>
    <row r="76" spans="1:8" ht="15.75">
      <c r="A76" s="161">
        <v>26</v>
      </c>
      <c r="B76" s="204">
        <f t="shared" si="12"/>
        <v>46934</v>
      </c>
      <c r="C76" s="161">
        <f t="shared" si="13"/>
        <v>2028</v>
      </c>
      <c r="D76" s="162">
        <f t="shared" si="14"/>
        <v>190.23</v>
      </c>
      <c r="E76" s="162">
        <f t="shared" si="16"/>
        <v>178.6</v>
      </c>
      <c r="F76" s="162">
        <f>0</f>
        <v>0</v>
      </c>
      <c r="G76" s="162">
        <f t="shared" si="15"/>
        <v>11.63</v>
      </c>
      <c r="H76" s="205">
        <f t="shared" si="17"/>
        <v>4013.59</v>
      </c>
    </row>
    <row r="77" spans="1:8" ht="15.75">
      <c r="A77" s="161">
        <v>27</v>
      </c>
      <c r="B77" s="204">
        <f t="shared" si="12"/>
        <v>46965</v>
      </c>
      <c r="C77" s="161">
        <f t="shared" si="13"/>
        <v>2028</v>
      </c>
      <c r="D77" s="162">
        <f t="shared" si="14"/>
        <v>190.23</v>
      </c>
      <c r="E77" s="162">
        <f t="shared" si="16"/>
        <v>179.09</v>
      </c>
      <c r="F77" s="162">
        <f>0</f>
        <v>0</v>
      </c>
      <c r="G77" s="162">
        <f t="shared" si="15"/>
        <v>11.14</v>
      </c>
      <c r="H77" s="205">
        <f t="shared" si="17"/>
        <v>3834.5</v>
      </c>
    </row>
    <row r="78" spans="1:8" ht="15.75">
      <c r="A78" s="161">
        <v>28</v>
      </c>
      <c r="B78" s="204">
        <f t="shared" si="12"/>
        <v>46996</v>
      </c>
      <c r="C78" s="161">
        <f t="shared" si="13"/>
        <v>2028</v>
      </c>
      <c r="D78" s="162">
        <f t="shared" si="14"/>
        <v>190.23</v>
      </c>
      <c r="E78" s="162">
        <f t="shared" si="16"/>
        <v>179.59</v>
      </c>
      <c r="F78" s="162">
        <f>0</f>
        <v>0</v>
      </c>
      <c r="G78" s="162">
        <f t="shared" si="15"/>
        <v>10.64</v>
      </c>
      <c r="H78" s="205">
        <f t="shared" si="17"/>
        <v>3654.91</v>
      </c>
    </row>
    <row r="79" spans="1:8" ht="15.75">
      <c r="A79" s="161">
        <v>29</v>
      </c>
      <c r="B79" s="204">
        <f t="shared" si="12"/>
        <v>47026</v>
      </c>
      <c r="C79" s="161">
        <f t="shared" si="13"/>
        <v>2028</v>
      </c>
      <c r="D79" s="162">
        <f t="shared" si="14"/>
        <v>190.23</v>
      </c>
      <c r="E79" s="162">
        <f t="shared" si="16"/>
        <v>180.09</v>
      </c>
      <c r="F79" s="162">
        <f>0</f>
        <v>0</v>
      </c>
      <c r="G79" s="162">
        <f t="shared" si="15"/>
        <v>10.14</v>
      </c>
      <c r="H79" s="205">
        <f t="shared" si="17"/>
        <v>3474.82</v>
      </c>
    </row>
    <row r="80" spans="1:8" ht="15.75">
      <c r="A80" s="161">
        <v>30</v>
      </c>
      <c r="B80" s="204">
        <f t="shared" si="12"/>
        <v>47057</v>
      </c>
      <c r="C80" s="161">
        <f t="shared" si="13"/>
        <v>2028</v>
      </c>
      <c r="D80" s="162">
        <f t="shared" si="14"/>
        <v>190.23</v>
      </c>
      <c r="E80" s="162">
        <f t="shared" si="16"/>
        <v>180.59</v>
      </c>
      <c r="F80" s="162">
        <f>0</f>
        <v>0</v>
      </c>
      <c r="G80" s="162">
        <f t="shared" si="15"/>
        <v>9.64</v>
      </c>
      <c r="H80" s="205">
        <f t="shared" si="17"/>
        <v>3294.23</v>
      </c>
    </row>
    <row r="81" spans="1:8" ht="15.75">
      <c r="A81" s="161">
        <v>31</v>
      </c>
      <c r="B81" s="204">
        <f t="shared" si="12"/>
        <v>47087</v>
      </c>
      <c r="C81" s="161">
        <f t="shared" si="13"/>
        <v>2028</v>
      </c>
      <c r="D81" s="162">
        <f t="shared" si="14"/>
        <v>190.23</v>
      </c>
      <c r="E81" s="162">
        <f t="shared" si="16"/>
        <v>181.09</v>
      </c>
      <c r="F81" s="162">
        <f>0</f>
        <v>0</v>
      </c>
      <c r="G81" s="162">
        <f t="shared" si="15"/>
        <v>9.14</v>
      </c>
      <c r="H81" s="205">
        <f t="shared" si="17"/>
        <v>3113.14</v>
      </c>
    </row>
    <row r="82" spans="1:8" ht="15.75">
      <c r="A82" s="161">
        <v>32</v>
      </c>
      <c r="B82" s="204">
        <f t="shared" si="12"/>
        <v>47118</v>
      </c>
      <c r="C82" s="161">
        <f t="shared" si="13"/>
        <v>2028</v>
      </c>
      <c r="D82" s="162">
        <f t="shared" si="14"/>
        <v>190.23</v>
      </c>
      <c r="E82" s="162">
        <f t="shared" si="16"/>
        <v>181.59</v>
      </c>
      <c r="F82" s="162">
        <f>0</f>
        <v>0</v>
      </c>
      <c r="G82" s="162">
        <f t="shared" si="15"/>
        <v>8.64</v>
      </c>
      <c r="H82" s="205">
        <f t="shared" si="17"/>
        <v>2931.55</v>
      </c>
    </row>
    <row r="83" spans="1:8" ht="15.75">
      <c r="A83" s="161">
        <v>33</v>
      </c>
      <c r="B83" s="204">
        <f t="shared" si="12"/>
        <v>47149</v>
      </c>
      <c r="C83" s="161">
        <f t="shared" si="13"/>
        <v>2029</v>
      </c>
      <c r="D83" s="162">
        <f t="shared" si="14"/>
        <v>190.23</v>
      </c>
      <c r="E83" s="162">
        <f t="shared" si="16"/>
        <v>182.09</v>
      </c>
      <c r="F83" s="162">
        <f>0</f>
        <v>0</v>
      </c>
      <c r="G83" s="162">
        <f t="shared" si="15"/>
        <v>8.14</v>
      </c>
      <c r="H83" s="205">
        <f t="shared" si="17"/>
        <v>2749.46</v>
      </c>
    </row>
    <row r="84" spans="1:8" ht="15.75">
      <c r="A84" s="161">
        <v>34</v>
      </c>
      <c r="B84" s="204">
        <f t="shared" si="12"/>
        <v>47177</v>
      </c>
      <c r="C84" s="161">
        <f t="shared" si="13"/>
        <v>2029</v>
      </c>
      <c r="D84" s="162">
        <f t="shared" si="14"/>
        <v>190.23</v>
      </c>
      <c r="E84" s="162">
        <f t="shared" si="16"/>
        <v>182.6</v>
      </c>
      <c r="F84" s="162">
        <f>0</f>
        <v>0</v>
      </c>
      <c r="G84" s="162">
        <f t="shared" si="15"/>
        <v>7.63</v>
      </c>
      <c r="H84" s="205">
        <f t="shared" si="17"/>
        <v>2566.86</v>
      </c>
    </row>
    <row r="85" spans="1:8" ht="15.75">
      <c r="A85" s="161">
        <v>35</v>
      </c>
      <c r="B85" s="204">
        <f t="shared" si="12"/>
        <v>47208</v>
      </c>
      <c r="C85" s="161">
        <f t="shared" si="13"/>
        <v>2029</v>
      </c>
      <c r="D85" s="162">
        <f t="shared" si="14"/>
        <v>190.23</v>
      </c>
      <c r="E85" s="162">
        <f t="shared" si="16"/>
        <v>183.11</v>
      </c>
      <c r="F85" s="162">
        <f>0</f>
        <v>0</v>
      </c>
      <c r="G85" s="162">
        <f t="shared" si="15"/>
        <v>7.12</v>
      </c>
      <c r="H85" s="205">
        <f t="shared" si="17"/>
        <v>2383.75</v>
      </c>
    </row>
    <row r="86" spans="1:8" ht="15.75">
      <c r="A86" s="161">
        <v>36</v>
      </c>
      <c r="B86" s="204">
        <f t="shared" si="12"/>
        <v>47238</v>
      </c>
      <c r="C86" s="161">
        <f t="shared" si="13"/>
        <v>2029</v>
      </c>
      <c r="D86" s="162">
        <f>ROUND(E86+G86,2)</f>
        <v>190.36</v>
      </c>
      <c r="E86" s="162">
        <f>ROUND(H85-ROUND($M$54*$M$56,2),2)</f>
        <v>183.75</v>
      </c>
      <c r="F86" s="162">
        <f>0</f>
        <v>0</v>
      </c>
      <c r="G86" s="162">
        <f t="shared" si="15"/>
        <v>6.61</v>
      </c>
      <c r="H86" s="205">
        <f t="shared" si="17"/>
        <v>2200</v>
      </c>
    </row>
    <row r="87" spans="1:8" ht="31.5">
      <c r="A87" s="138" t="s">
        <v>1074</v>
      </c>
      <c r="B87" s="204">
        <f>EOMONTH($M$53,A86)</f>
        <v>47238</v>
      </c>
      <c r="C87" s="161">
        <f>YEAR(B87)</f>
        <v>2029</v>
      </c>
      <c r="D87" s="162">
        <v>2200</v>
      </c>
      <c r="E87" s="162">
        <f>0</f>
        <v>0</v>
      </c>
      <c r="F87" s="162">
        <v>2200</v>
      </c>
      <c r="G87" s="162">
        <f>0</f>
        <v>0</v>
      </c>
      <c r="H87" s="205">
        <f>0</f>
        <v>0</v>
      </c>
    </row>
  </sheetData>
  <mergeCells count="1">
    <mergeCell ref="A1:G1"/>
  </mergeCells>
  <pageMargins left="0.25" right="0.25"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Reqs</vt:lpstr>
      <vt:lpstr>TCs baseline</vt:lpstr>
      <vt:lpstr>Models</vt:lpstr>
      <vt:lpstr>TCs eval</vt:lpstr>
      <vt:lpstr>Defects</vt:lpstr>
      <vt:lpstr>Reqs vs TCs</vt:lpstr>
      <vt:lpstr>TCs ChatGPT</vt:lpstr>
      <vt:lpstr> TCs Gemini</vt:lpstr>
      <vt:lpstr>TCs Claude</vt:lpstr>
      <vt:lpstr>Oracle cases</vt:lpstr>
      <vt:lpstr>Oracle results - run1</vt:lpstr>
      <vt:lpstr>Oracle results - run2</vt:lpstr>
      <vt:lpstr>Oracle results - run3</vt:lpstr>
      <vt:lpstr>Oracle-Synthesis</vt:lpstr>
      <vt:lpstr>Human 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Codrina Lisaru</dc:creator>
  <cp:lastModifiedBy>Codrina</cp:lastModifiedBy>
  <cp:lastPrinted>2026-08-24T11:18:29Z</cp:lastPrinted>
  <dcterms:created xsi:type="dcterms:W3CDTF">2026-04-01T12:36:50Z</dcterms:created>
  <dcterms:modified xsi:type="dcterms:W3CDTF">2026-10-11T16:15:49Z</dcterms:modified>
</cp:coreProperties>
</file>